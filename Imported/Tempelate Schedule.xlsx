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cheduler\scheduler-app\Imported\"/>
    </mc:Choice>
  </mc:AlternateContent>
  <xr:revisionPtr revIDLastSave="0" documentId="13_ncr:1_{4D7F0CC9-68A6-44E8-82AC-FB66AE13F7D8}" xr6:coauthVersionLast="47" xr6:coauthVersionMax="47" xr10:uidLastSave="{00000000-0000-0000-0000-000000000000}"/>
  <bookViews>
    <workbookView xWindow="-120" yWindow="-120" windowWidth="29040" windowHeight="17520" xr2:uid="{D70A90EC-8E1B-FC4B-A5B2-DAE2CF1A2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0" i="1" l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198" i="1"/>
  <c r="P197" i="1"/>
  <c r="P196" i="1"/>
  <c r="P195" i="1"/>
  <c r="P194" i="1"/>
  <c r="P193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59" i="1"/>
  <c r="P158" i="1"/>
  <c r="P157" i="1"/>
  <c r="P156" i="1"/>
  <c r="P155" i="1"/>
  <c r="P154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2" i="1"/>
  <c r="P121" i="1"/>
  <c r="P120" i="1"/>
  <c r="P119" i="1"/>
  <c r="P118" i="1"/>
  <c r="P117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4" i="1"/>
  <c r="P83" i="1"/>
  <c r="P82" i="1"/>
  <c r="P81" i="1"/>
  <c r="P80" i="1"/>
  <c r="P79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48" i="1"/>
  <c r="P47" i="1"/>
  <c r="P46" i="1"/>
  <c r="P45" i="1"/>
  <c r="P44" i="1"/>
  <c r="P43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4" i="1"/>
  <c r="P13" i="1"/>
  <c r="P12" i="1"/>
  <c r="P11" i="1"/>
  <c r="P10" i="1"/>
  <c r="B36" i="1"/>
  <c r="D36" i="1" s="1"/>
  <c r="F36" i="1" s="1"/>
  <c r="H36" i="1" s="1"/>
  <c r="J36" i="1" s="1"/>
  <c r="L36" i="1" s="1"/>
  <c r="N36" i="1" s="1"/>
  <c r="B72" i="1" s="1"/>
  <c r="D72" i="1" s="1"/>
  <c r="F72" i="1" s="1"/>
  <c r="H72" i="1" s="1"/>
  <c r="J72" i="1" s="1"/>
  <c r="L72" i="1" s="1"/>
  <c r="N72" i="1" s="1"/>
  <c r="B110" i="1" s="1"/>
  <c r="D110" i="1" s="1"/>
  <c r="F110" i="1" s="1"/>
  <c r="H110" i="1" s="1"/>
  <c r="J110" i="1" s="1"/>
  <c r="L110" i="1" s="1"/>
  <c r="N110" i="1" s="1"/>
  <c r="B147" i="1" s="1"/>
  <c r="D147" i="1" s="1"/>
  <c r="F147" i="1" s="1"/>
  <c r="H147" i="1" s="1"/>
  <c r="J147" i="1" s="1"/>
  <c r="L147" i="1" s="1"/>
  <c r="N147" i="1" s="1"/>
  <c r="B186" i="1" s="1"/>
  <c r="D186" i="1" s="1"/>
  <c r="F186" i="1" s="1"/>
  <c r="H186" i="1" s="1"/>
  <c r="J186" i="1" s="1"/>
  <c r="L186" i="1" s="1"/>
  <c r="N186" i="1" s="1"/>
</calcChain>
</file>

<file path=xl/sharedStrings.xml><?xml version="1.0" encoding="utf-8"?>
<sst xmlns="http://schemas.openxmlformats.org/spreadsheetml/2006/main" count="273" uniqueCount="48">
  <si>
    <t>Part Time</t>
  </si>
  <si>
    <t>Intro</t>
  </si>
  <si>
    <t>Chloe</t>
  </si>
  <si>
    <t>Ricky</t>
  </si>
  <si>
    <t>Monday</t>
  </si>
  <si>
    <t>Tuesday</t>
  </si>
  <si>
    <t>Wednesday</t>
  </si>
  <si>
    <t>Thursday</t>
  </si>
  <si>
    <t>Friday</t>
  </si>
  <si>
    <t>Saturday</t>
  </si>
  <si>
    <t>Sunday</t>
  </si>
  <si>
    <t>MOD</t>
  </si>
  <si>
    <t>Angie</t>
  </si>
  <si>
    <t>Kirsty</t>
  </si>
  <si>
    <t>Hein</t>
  </si>
  <si>
    <t>Total</t>
  </si>
  <si>
    <t>SMOD</t>
  </si>
  <si>
    <t>Xander</t>
  </si>
  <si>
    <t>Jeff</t>
  </si>
  <si>
    <t>Gillian</t>
  </si>
  <si>
    <t>Full time &amp; Cafe</t>
  </si>
  <si>
    <t>Hrs</t>
  </si>
  <si>
    <t>Eliza</t>
  </si>
  <si>
    <t>Ryan</t>
  </si>
  <si>
    <t>Part time</t>
  </si>
  <si>
    <t>Ricardo</t>
  </si>
  <si>
    <t>Michael M</t>
  </si>
  <si>
    <t>Reenen</t>
  </si>
  <si>
    <t>Jana</t>
  </si>
  <si>
    <t>Keegan</t>
  </si>
  <si>
    <t>Michael C</t>
  </si>
  <si>
    <t>Kim</t>
  </si>
  <si>
    <t>Andrea</t>
  </si>
  <si>
    <t>Kirara</t>
  </si>
  <si>
    <t>Iliana</t>
  </si>
  <si>
    <t>Skye</t>
  </si>
  <si>
    <t>Tasha</t>
  </si>
  <si>
    <t>Heimer</t>
  </si>
  <si>
    <t>Bianca</t>
  </si>
  <si>
    <t>Kintro</t>
  </si>
  <si>
    <t>Kgomotso</t>
  </si>
  <si>
    <t>Tanielle</t>
  </si>
  <si>
    <t>Ashlin</t>
  </si>
  <si>
    <t>Monique</t>
  </si>
  <si>
    <t>Rosie</t>
  </si>
  <si>
    <t>Liam</t>
  </si>
  <si>
    <t>21-22 Mar</t>
  </si>
  <si>
    <t xml:space="preserve">Good Friday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</si>
</sst>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name val="Arial"/>
      <family val="2"/>
    </font>
    <font>
      <b/>
      <sz val="11"/>
      <color theme="1" tint="4.9989318521683403E-2"/>
      <name val="Aptos Narrow"/>
      <family val="2"/>
      <scheme val="minor"/>
    </font>
    <font>
      <b/>
      <sz val="11"/>
      <name val="Aptos Narrow"/>
      <family val="2"/>
    </font>
    <font>
      <b/>
      <sz val="10"/>
      <color theme="0"/>
      <name val="Arial"/>
      <family val="2"/>
    </font>
    <font>
      <b/>
      <sz val="11"/>
      <color theme="0" tint="-0.34998626667073579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0"/>
      <color rgb="FFC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1" tint="0.49998474074526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16" fontId="1" fillId="2" borderId="1" xfId="0" applyNumberFormat="1" applyFont="1" applyFill="1" applyBorder="1" applyAlignment="1">
      <alignment horizontal="left" vertical="center"/>
    </xf>
    <xf numFmtId="2" fontId="2" fillId="2" borderId="2" xfId="0" applyNumberFormat="1" applyFont="1" applyFill="1" applyBorder="1" applyAlignment="1">
      <alignment horizontal="left" vertical="center"/>
    </xf>
    <xf numFmtId="2" fontId="3" fillId="2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" fontId="1" fillId="3" borderId="9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6" fontId="4" fillId="4" borderId="11" xfId="0" applyNumberFormat="1" applyFont="1" applyFill="1" applyBorder="1" applyAlignment="1">
      <alignment horizontal="center" vertical="center"/>
    </xf>
    <xf numFmtId="16" fontId="4" fillId="4" borderId="12" xfId="0" applyNumberFormat="1" applyFont="1" applyFill="1" applyBorder="1" applyAlignment="1">
      <alignment horizontal="left" vertical="center"/>
    </xf>
    <xf numFmtId="16" fontId="5" fillId="5" borderId="13" xfId="0" applyNumberFormat="1" applyFont="1" applyFill="1" applyBorder="1" applyAlignment="1">
      <alignment vertical="center"/>
    </xf>
    <xf numFmtId="16" fontId="6" fillId="5" borderId="13" xfId="0" applyNumberFormat="1" applyFont="1" applyFill="1" applyBorder="1" applyAlignment="1">
      <alignment vertical="center"/>
    </xf>
    <xf numFmtId="16" fontId="6" fillId="5" borderId="1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horizontal="center" vertical="center"/>
    </xf>
    <xf numFmtId="16" fontId="1" fillId="6" borderId="18" xfId="0" applyNumberFormat="1" applyFont="1" applyFill="1" applyBorder="1" applyAlignment="1">
      <alignment vertical="center"/>
    </xf>
    <xf numFmtId="16" fontId="1" fillId="6" borderId="19" xfId="0" applyNumberFormat="1" applyFont="1" applyFill="1" applyBorder="1" applyAlignment="1">
      <alignment vertical="center"/>
    </xf>
    <xf numFmtId="16" fontId="1" fillId="7" borderId="1" xfId="0" applyNumberFormat="1" applyFont="1" applyFill="1" applyBorder="1" applyAlignment="1">
      <alignment horizontal="left" vertical="center"/>
    </xf>
    <xf numFmtId="0" fontId="1" fillId="7" borderId="27" xfId="0" applyFont="1" applyFill="1" applyBorder="1" applyAlignment="1">
      <alignment horizontal="center" vertical="center"/>
    </xf>
    <xf numFmtId="16" fontId="1" fillId="7" borderId="28" xfId="0" applyNumberFormat="1" applyFont="1" applyFill="1" applyBorder="1" applyAlignment="1">
      <alignment horizontal="left" vertical="center"/>
    </xf>
    <xf numFmtId="2" fontId="2" fillId="7" borderId="14" xfId="0" applyNumberFormat="1" applyFont="1" applyFill="1" applyBorder="1" applyAlignment="1">
      <alignment horizontal="center" vertical="center"/>
    </xf>
    <xf numFmtId="2" fontId="5" fillId="8" borderId="37" xfId="0" applyNumberFormat="1" applyFont="1" applyFill="1" applyBorder="1" applyAlignment="1">
      <alignment horizontal="center" vertical="center"/>
    </xf>
    <xf numFmtId="16" fontId="4" fillId="9" borderId="38" xfId="0" applyNumberFormat="1" applyFont="1" applyFill="1" applyBorder="1" applyAlignment="1">
      <alignment horizontal="right" vertical="center"/>
    </xf>
    <xf numFmtId="2" fontId="2" fillId="11" borderId="43" xfId="0" applyNumberFormat="1" applyFont="1" applyFill="1" applyBorder="1" applyAlignment="1">
      <alignment horizontal="center" vertical="center"/>
    </xf>
    <xf numFmtId="20" fontId="2" fillId="12" borderId="42" xfId="0" applyNumberFormat="1" applyFont="1" applyFill="1" applyBorder="1" applyAlignment="1">
      <alignment horizontal="center" vertical="center"/>
    </xf>
    <xf numFmtId="20" fontId="2" fillId="12" borderId="17" xfId="0" applyNumberFormat="1" applyFont="1" applyFill="1" applyBorder="1" applyAlignment="1">
      <alignment horizontal="center" vertical="center"/>
    </xf>
    <xf numFmtId="20" fontId="8" fillId="12" borderId="42" xfId="0" applyNumberFormat="1" applyFont="1" applyFill="1" applyBorder="1" applyAlignment="1">
      <alignment horizontal="center" vertical="center"/>
    </xf>
    <xf numFmtId="20" fontId="8" fillId="12" borderId="17" xfId="0" applyNumberFormat="1" applyFont="1" applyFill="1" applyBorder="1" applyAlignment="1">
      <alignment horizontal="center" vertical="center"/>
    </xf>
    <xf numFmtId="16" fontId="4" fillId="9" borderId="39" xfId="0" applyNumberFormat="1" applyFont="1" applyFill="1" applyBorder="1" applyAlignment="1">
      <alignment horizontal="right" vertical="center"/>
    </xf>
    <xf numFmtId="16" fontId="4" fillId="9" borderId="10" xfId="0" applyNumberFormat="1" applyFont="1" applyFill="1" applyBorder="1" applyAlignment="1">
      <alignment horizontal="right" vertical="center"/>
    </xf>
    <xf numFmtId="20" fontId="2" fillId="12" borderId="0" xfId="0" applyNumberFormat="1" applyFont="1" applyFill="1" applyAlignment="1">
      <alignment horizontal="center" vertical="center"/>
    </xf>
    <xf numFmtId="20" fontId="2" fillId="12" borderId="37" xfId="0" applyNumberFormat="1" applyFont="1" applyFill="1" applyBorder="1" applyAlignment="1">
      <alignment horizontal="center" vertical="center"/>
    </xf>
    <xf numFmtId="2" fontId="2" fillId="12" borderId="37" xfId="0" applyNumberFormat="1" applyFont="1" applyFill="1" applyBorder="1" applyAlignment="1">
      <alignment horizontal="center" vertical="center"/>
    </xf>
    <xf numFmtId="16" fontId="6" fillId="13" borderId="38" xfId="0" applyNumberFormat="1" applyFont="1" applyFill="1" applyBorder="1" applyAlignment="1">
      <alignment horizontal="right" vertical="center"/>
    </xf>
    <xf numFmtId="20" fontId="6" fillId="12" borderId="44" xfId="0" applyNumberFormat="1" applyFont="1" applyFill="1" applyBorder="1" applyAlignment="1">
      <alignment horizontal="center" vertical="center"/>
    </xf>
    <xf numFmtId="20" fontId="6" fillId="12" borderId="45" xfId="0" applyNumberFormat="1" applyFont="1" applyFill="1" applyBorder="1" applyAlignment="1">
      <alignment horizontal="center" vertical="center"/>
    </xf>
    <xf numFmtId="20" fontId="2" fillId="12" borderId="46" xfId="0" applyNumberFormat="1" applyFont="1" applyFill="1" applyBorder="1" applyAlignment="1">
      <alignment horizontal="center" vertical="center"/>
    </xf>
    <xf numFmtId="20" fontId="2" fillId="12" borderId="43" xfId="0" applyNumberFormat="1" applyFont="1" applyFill="1" applyBorder="1" applyAlignment="1">
      <alignment horizontal="center" vertical="center"/>
    </xf>
    <xf numFmtId="20" fontId="2" fillId="12" borderId="47" xfId="0" applyNumberFormat="1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right" vertical="center" wrapText="1"/>
    </xf>
    <xf numFmtId="20" fontId="7" fillId="12" borderId="38" xfId="0" applyNumberFormat="1" applyFont="1" applyFill="1" applyBorder="1" applyAlignment="1">
      <alignment horizontal="center"/>
    </xf>
    <xf numFmtId="20" fontId="7" fillId="12" borderId="17" xfId="0" applyNumberFormat="1" applyFont="1" applyFill="1" applyBorder="1" applyAlignment="1">
      <alignment horizontal="center"/>
    </xf>
    <xf numFmtId="20" fontId="6" fillId="12" borderId="13" xfId="0" applyNumberFormat="1" applyFont="1" applyFill="1" applyBorder="1" applyAlignment="1">
      <alignment horizontal="center" vertical="center"/>
    </xf>
    <xf numFmtId="20" fontId="6" fillId="12" borderId="14" xfId="0" applyNumberFormat="1" applyFont="1" applyFill="1" applyBorder="1" applyAlignment="1">
      <alignment horizontal="center" vertical="center"/>
    </xf>
    <xf numFmtId="20" fontId="7" fillId="12" borderId="42" xfId="0" applyNumberFormat="1" applyFont="1" applyFill="1" applyBorder="1" applyAlignment="1">
      <alignment horizontal="center"/>
    </xf>
    <xf numFmtId="20" fontId="2" fillId="12" borderId="13" xfId="0" applyNumberFormat="1" applyFont="1" applyFill="1" applyBorder="1" applyAlignment="1">
      <alignment horizontal="center" vertical="center"/>
    </xf>
    <xf numFmtId="20" fontId="2" fillId="12" borderId="14" xfId="0" applyNumberFormat="1" applyFont="1" applyFill="1" applyBorder="1" applyAlignment="1">
      <alignment horizontal="center" vertical="center"/>
    </xf>
    <xf numFmtId="20" fontId="6" fillId="12" borderId="38" xfId="0" applyNumberFormat="1" applyFont="1" applyFill="1" applyBorder="1" applyAlignment="1">
      <alignment horizontal="center" vertical="center"/>
    </xf>
    <xf numFmtId="20" fontId="6" fillId="12" borderId="17" xfId="0" applyNumberFormat="1" applyFont="1" applyFill="1" applyBorder="1" applyAlignment="1">
      <alignment horizontal="center" vertical="center"/>
    </xf>
    <xf numFmtId="20" fontId="6" fillId="12" borderId="42" xfId="0" applyNumberFormat="1" applyFont="1" applyFill="1" applyBorder="1" applyAlignment="1">
      <alignment horizontal="center" vertical="center"/>
    </xf>
    <xf numFmtId="0" fontId="2" fillId="14" borderId="38" xfId="0" applyFont="1" applyFill="1" applyBorder="1" applyAlignment="1">
      <alignment horizontal="right" vertical="center"/>
    </xf>
    <xf numFmtId="20" fontId="7" fillId="12" borderId="48" xfId="0" applyNumberFormat="1" applyFont="1" applyFill="1" applyBorder="1" applyAlignment="1">
      <alignment horizontal="center"/>
    </xf>
    <xf numFmtId="20" fontId="7" fillId="12" borderId="14" xfId="0" applyNumberFormat="1" applyFont="1" applyFill="1" applyBorder="1" applyAlignment="1">
      <alignment horizontal="center"/>
    </xf>
    <xf numFmtId="20" fontId="8" fillId="12" borderId="38" xfId="0" applyNumberFormat="1" applyFont="1" applyFill="1" applyBorder="1" applyAlignment="1">
      <alignment horizontal="center" vertical="center"/>
    </xf>
    <xf numFmtId="0" fontId="2" fillId="15" borderId="39" xfId="0" applyFont="1" applyFill="1" applyBorder="1" applyAlignment="1">
      <alignment horizontal="right" vertical="center"/>
    </xf>
    <xf numFmtId="20" fontId="2" fillId="12" borderId="38" xfId="0" applyNumberFormat="1" applyFont="1" applyFill="1" applyBorder="1" applyAlignment="1">
      <alignment horizontal="center" vertical="center"/>
    </xf>
    <xf numFmtId="20" fontId="2" fillId="12" borderId="39" xfId="0" applyNumberFormat="1" applyFont="1" applyFill="1" applyBorder="1" applyAlignment="1">
      <alignment horizontal="center" vertical="center"/>
    </xf>
    <xf numFmtId="20" fontId="2" fillId="12" borderId="40" xfId="0" applyNumberFormat="1" applyFont="1" applyFill="1" applyBorder="1" applyAlignment="1">
      <alignment horizontal="center" vertical="center"/>
    </xf>
    <xf numFmtId="0" fontId="2" fillId="14" borderId="48" xfId="0" applyFont="1" applyFill="1" applyBorder="1" applyAlignment="1">
      <alignment horizontal="right" vertical="center"/>
    </xf>
    <xf numFmtId="20" fontId="2" fillId="12" borderId="48" xfId="0" applyNumberFormat="1" applyFont="1" applyFill="1" applyBorder="1" applyAlignment="1">
      <alignment horizontal="center" vertical="center"/>
    </xf>
    <xf numFmtId="20" fontId="2" fillId="12" borderId="41" xfId="0" applyNumberFormat="1" applyFont="1" applyFill="1" applyBorder="1" applyAlignment="1">
      <alignment horizontal="center" vertical="center"/>
    </xf>
    <xf numFmtId="0" fontId="9" fillId="12" borderId="41" xfId="0" applyFont="1" applyFill="1" applyBorder="1"/>
    <xf numFmtId="20" fontId="2" fillId="12" borderId="41" xfId="0" applyNumberFormat="1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right" vertical="center"/>
    </xf>
    <xf numFmtId="20" fontId="2" fillId="12" borderId="33" xfId="0" applyNumberFormat="1" applyFont="1" applyFill="1" applyBorder="1" applyAlignment="1">
      <alignment horizontal="center" vertical="center"/>
    </xf>
    <xf numFmtId="20" fontId="2" fillId="12" borderId="34" xfId="0" applyNumberFormat="1" applyFont="1" applyFill="1" applyBorder="1" applyAlignment="1">
      <alignment horizontal="center" vertical="center"/>
    </xf>
    <xf numFmtId="20" fontId="2" fillId="12" borderId="55" xfId="0" applyNumberFormat="1" applyFont="1" applyFill="1" applyBorder="1" applyAlignment="1">
      <alignment horizontal="center" vertical="center"/>
    </xf>
    <xf numFmtId="2" fontId="2" fillId="11" borderId="34" xfId="0" applyNumberFormat="1" applyFont="1" applyFill="1" applyBorder="1" applyAlignment="1">
      <alignment horizontal="center" vertical="center"/>
    </xf>
    <xf numFmtId="16" fontId="6" fillId="17" borderId="18" xfId="0" applyNumberFormat="1" applyFont="1" applyFill="1" applyBorder="1" applyAlignment="1">
      <alignment vertical="center"/>
    </xf>
    <xf numFmtId="16" fontId="6" fillId="17" borderId="19" xfId="0" applyNumberFormat="1" applyFont="1" applyFill="1" applyBorder="1" applyAlignment="1">
      <alignment vertical="center"/>
    </xf>
    <xf numFmtId="0" fontId="6" fillId="16" borderId="38" xfId="0" applyFont="1" applyFill="1" applyBorder="1" applyAlignment="1">
      <alignment horizontal="right" vertical="center" wrapText="1"/>
    </xf>
    <xf numFmtId="20" fontId="6" fillId="12" borderId="63" xfId="0" applyNumberFormat="1" applyFont="1" applyFill="1" applyBorder="1" applyAlignment="1">
      <alignment horizontal="center" vertical="center"/>
    </xf>
    <xf numFmtId="20" fontId="6" fillId="12" borderId="64" xfId="0" applyNumberFormat="1" applyFont="1" applyFill="1" applyBorder="1" applyAlignment="1">
      <alignment horizontal="center" vertical="center"/>
    </xf>
    <xf numFmtId="20" fontId="2" fillId="12" borderId="54" xfId="0" applyNumberFormat="1" applyFont="1" applyFill="1" applyBorder="1" applyAlignment="1">
      <alignment horizontal="center" vertical="center"/>
    </xf>
    <xf numFmtId="20" fontId="2" fillId="12" borderId="63" xfId="0" applyNumberFormat="1" applyFont="1" applyFill="1" applyBorder="1" applyAlignment="1">
      <alignment horizontal="center" vertical="center"/>
    </xf>
    <xf numFmtId="20" fontId="2" fillId="12" borderId="64" xfId="0" applyNumberFormat="1" applyFont="1" applyFill="1" applyBorder="1" applyAlignment="1">
      <alignment horizontal="center" vertical="center"/>
    </xf>
    <xf numFmtId="20" fontId="7" fillId="12" borderId="41" xfId="0" applyNumberFormat="1" applyFont="1" applyFill="1" applyBorder="1" applyAlignment="1">
      <alignment horizontal="center"/>
    </xf>
    <xf numFmtId="20" fontId="6" fillId="12" borderId="39" xfId="0" applyNumberFormat="1" applyFont="1" applyFill="1" applyBorder="1" applyAlignment="1">
      <alignment horizontal="center" vertical="center"/>
    </xf>
    <xf numFmtId="20" fontId="6" fillId="12" borderId="41" xfId="0" applyNumberFormat="1" applyFont="1" applyFill="1" applyBorder="1" applyAlignment="1">
      <alignment horizontal="center" vertical="center"/>
    </xf>
    <xf numFmtId="20" fontId="6" fillId="12" borderId="40" xfId="0" applyNumberFormat="1" applyFont="1" applyFill="1" applyBorder="1" applyAlignment="1">
      <alignment horizontal="center" vertical="center"/>
    </xf>
    <xf numFmtId="20" fontId="6" fillId="12" borderId="48" xfId="0" applyNumberFormat="1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right" vertical="center"/>
    </xf>
    <xf numFmtId="0" fontId="2" fillId="18" borderId="39" xfId="0" applyFont="1" applyFill="1" applyBorder="1" applyAlignment="1">
      <alignment horizontal="right" vertical="center"/>
    </xf>
    <xf numFmtId="20" fontId="7" fillId="12" borderId="53" xfId="0" applyNumberFormat="1" applyFont="1" applyFill="1" applyBorder="1" applyAlignment="1">
      <alignment horizontal="center"/>
    </xf>
    <xf numFmtId="20" fontId="7" fillId="12" borderId="52" xfId="0" applyNumberFormat="1" applyFont="1" applyFill="1" applyBorder="1" applyAlignment="1">
      <alignment horizontal="center"/>
    </xf>
    <xf numFmtId="20" fontId="7" fillId="12" borderId="13" xfId="0" applyNumberFormat="1" applyFont="1" applyFill="1" applyBorder="1" applyAlignment="1">
      <alignment horizontal="center"/>
    </xf>
    <xf numFmtId="20" fontId="7" fillId="12" borderId="49" xfId="0" applyNumberFormat="1" applyFont="1" applyFill="1" applyBorder="1" applyAlignment="1">
      <alignment horizontal="center"/>
    </xf>
    <xf numFmtId="20" fontId="7" fillId="12" borderId="0" xfId="0" applyNumberFormat="1" applyFont="1" applyFill="1" applyAlignment="1">
      <alignment horizontal="center"/>
    </xf>
    <xf numFmtId="20" fontId="7" fillId="12" borderId="37" xfId="0" applyNumberFormat="1" applyFont="1" applyFill="1" applyBorder="1" applyAlignment="1">
      <alignment horizontal="center"/>
    </xf>
    <xf numFmtId="0" fontId="2" fillId="15" borderId="48" xfId="0" applyFont="1" applyFill="1" applyBorder="1" applyAlignment="1">
      <alignment horizontal="right" vertical="center"/>
    </xf>
    <xf numFmtId="0" fontId="2" fillId="15" borderId="59" xfId="0" applyFont="1" applyFill="1" applyBorder="1" applyAlignment="1">
      <alignment horizontal="right" vertical="center"/>
    </xf>
    <xf numFmtId="0" fontId="2" fillId="15" borderId="22" xfId="0" applyFont="1" applyFill="1" applyBorder="1" applyAlignment="1">
      <alignment horizontal="right" vertical="center"/>
    </xf>
    <xf numFmtId="2" fontId="2" fillId="11" borderId="45" xfId="0" applyNumberFormat="1" applyFont="1" applyFill="1" applyBorder="1" applyAlignment="1">
      <alignment horizontal="center" vertical="center"/>
    </xf>
    <xf numFmtId="20" fontId="11" fillId="12" borderId="42" xfId="0" applyNumberFormat="1" applyFont="1" applyFill="1" applyBorder="1" applyAlignment="1">
      <alignment horizontal="center" vertical="center"/>
    </xf>
    <xf numFmtId="20" fontId="11" fillId="12" borderId="17" xfId="0" applyNumberFormat="1" applyFont="1" applyFill="1" applyBorder="1" applyAlignment="1">
      <alignment horizontal="center" vertical="center"/>
    </xf>
    <xf numFmtId="16" fontId="12" fillId="9" borderId="10" xfId="0" applyNumberFormat="1" applyFont="1" applyFill="1" applyBorder="1" applyAlignment="1">
      <alignment horizontal="right" vertical="center"/>
    </xf>
    <xf numFmtId="0" fontId="6" fillId="16" borderId="47" xfId="0" applyFont="1" applyFill="1" applyBorder="1" applyAlignment="1">
      <alignment horizontal="right" vertical="center" wrapText="1"/>
    </xf>
    <xf numFmtId="20" fontId="2" fillId="12" borderId="44" xfId="0" applyNumberFormat="1" applyFont="1" applyFill="1" applyBorder="1" applyAlignment="1">
      <alignment horizontal="center" vertical="center"/>
    </xf>
    <xf numFmtId="20" fontId="2" fillId="12" borderId="65" xfId="0" applyNumberFormat="1" applyFont="1" applyFill="1" applyBorder="1" applyAlignment="1">
      <alignment horizontal="center" vertical="center"/>
    </xf>
    <xf numFmtId="20" fontId="7" fillId="12" borderId="46" xfId="0" applyNumberFormat="1" applyFont="1" applyFill="1" applyBorder="1" applyAlignment="1">
      <alignment horizontal="center"/>
    </xf>
    <xf numFmtId="20" fontId="7" fillId="12" borderId="43" xfId="0" applyNumberFormat="1" applyFont="1" applyFill="1" applyBorder="1" applyAlignment="1">
      <alignment horizontal="center"/>
    </xf>
    <xf numFmtId="2" fontId="2" fillId="12" borderId="19" xfId="0" applyNumberFormat="1" applyFont="1" applyFill="1" applyBorder="1" applyAlignment="1">
      <alignment horizontal="center" vertical="center"/>
    </xf>
    <xf numFmtId="0" fontId="6" fillId="10" borderId="38" xfId="0" applyFont="1" applyFill="1" applyBorder="1" applyAlignment="1">
      <alignment horizontal="right" vertical="center" wrapText="1"/>
    </xf>
    <xf numFmtId="0" fontId="6" fillId="18" borderId="38" xfId="0" applyFont="1" applyFill="1" applyBorder="1" applyAlignment="1">
      <alignment horizontal="right" vertical="center" wrapText="1"/>
    </xf>
    <xf numFmtId="0" fontId="2" fillId="10" borderId="39" xfId="0" applyFont="1" applyFill="1" applyBorder="1" applyAlignment="1">
      <alignment horizontal="right" vertical="center"/>
    </xf>
    <xf numFmtId="20" fontId="7" fillId="12" borderId="39" xfId="0" applyNumberFormat="1" applyFont="1" applyFill="1" applyBorder="1" applyAlignment="1">
      <alignment horizontal="center"/>
    </xf>
    <xf numFmtId="20" fontId="7" fillId="12" borderId="40" xfId="0" applyNumberFormat="1" applyFont="1" applyFill="1" applyBorder="1" applyAlignment="1">
      <alignment horizontal="center"/>
    </xf>
    <xf numFmtId="20" fontId="2" fillId="12" borderId="10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left" vertical="center"/>
    </xf>
    <xf numFmtId="0" fontId="6" fillId="16" borderId="66" xfId="0" applyFont="1" applyFill="1" applyBorder="1" applyAlignment="1">
      <alignment horizontal="right" vertical="center" wrapText="1"/>
    </xf>
    <xf numFmtId="0" fontId="6" fillId="10" borderId="67" xfId="0" applyFont="1" applyFill="1" applyBorder="1" applyAlignment="1">
      <alignment horizontal="right" vertical="center" wrapText="1"/>
    </xf>
    <xf numFmtId="0" fontId="6" fillId="13" borderId="67" xfId="0" applyFont="1" applyFill="1" applyBorder="1" applyAlignment="1">
      <alignment horizontal="right" vertical="center" wrapText="1"/>
    </xf>
    <xf numFmtId="0" fontId="6" fillId="18" borderId="67" xfId="0" applyFont="1" applyFill="1" applyBorder="1" applyAlignment="1">
      <alignment horizontal="right" vertical="center" wrapText="1"/>
    </xf>
    <xf numFmtId="0" fontId="2" fillId="18" borderId="67" xfId="0" applyFont="1" applyFill="1" applyBorder="1" applyAlignment="1">
      <alignment horizontal="right" vertical="center"/>
    </xf>
    <xf numFmtId="0" fontId="2" fillId="10" borderId="68" xfId="0" applyFont="1" applyFill="1" applyBorder="1" applyAlignment="1">
      <alignment horizontal="right" vertical="center"/>
    </xf>
    <xf numFmtId="0" fontId="2" fillId="18" borderId="68" xfId="0" applyFont="1" applyFill="1" applyBorder="1" applyAlignment="1">
      <alignment horizontal="right" vertical="center"/>
    </xf>
    <xf numFmtId="0" fontId="2" fillId="15" borderId="69" xfId="0" applyFont="1" applyFill="1" applyBorder="1" applyAlignment="1">
      <alignment horizontal="right" vertical="center"/>
    </xf>
    <xf numFmtId="0" fontId="2" fillId="15" borderId="68" xfId="0" applyFont="1" applyFill="1" applyBorder="1" applyAlignment="1">
      <alignment horizontal="right" vertical="center"/>
    </xf>
    <xf numFmtId="0" fontId="2" fillId="15" borderId="70" xfId="0" applyFont="1" applyFill="1" applyBorder="1" applyAlignment="1">
      <alignment horizontal="right" vertical="center"/>
    </xf>
    <xf numFmtId="20" fontId="7" fillId="12" borderId="10" xfId="0" applyNumberFormat="1" applyFont="1" applyFill="1" applyBorder="1" applyAlignment="1">
      <alignment horizontal="center"/>
    </xf>
    <xf numFmtId="20" fontId="2" fillId="12" borderId="45" xfId="0" applyNumberFormat="1" applyFont="1" applyFill="1" applyBorder="1" applyAlignment="1">
      <alignment horizontal="center" vertical="center"/>
    </xf>
    <xf numFmtId="16" fontId="1" fillId="7" borderId="62" xfId="0" applyNumberFormat="1" applyFont="1" applyFill="1" applyBorder="1" applyAlignment="1">
      <alignment horizontal="center" vertical="center"/>
    </xf>
    <xf numFmtId="16" fontId="1" fillId="7" borderId="60" xfId="0" applyNumberFormat="1" applyFont="1" applyFill="1" applyBorder="1" applyAlignment="1">
      <alignment horizontal="center" vertical="center"/>
    </xf>
    <xf numFmtId="16" fontId="1" fillId="7" borderId="25" xfId="0" applyNumberFormat="1" applyFont="1" applyFill="1" applyBorder="1" applyAlignment="1">
      <alignment horizontal="center" vertical="center"/>
    </xf>
    <xf numFmtId="16" fontId="1" fillId="7" borderId="26" xfId="0" applyNumberFormat="1" applyFont="1" applyFill="1" applyBorder="1" applyAlignment="1">
      <alignment horizontal="center" vertical="center"/>
    </xf>
    <xf numFmtId="16" fontId="1" fillId="7" borderId="29" xfId="0" applyNumberFormat="1" applyFont="1" applyFill="1" applyBorder="1" applyAlignment="1">
      <alignment horizontal="center" vertical="center"/>
    </xf>
    <xf numFmtId="16" fontId="1" fillId="7" borderId="30" xfId="0" applyNumberFormat="1" applyFont="1" applyFill="1" applyBorder="1" applyAlignment="1">
      <alignment horizontal="center" vertical="center"/>
    </xf>
    <xf numFmtId="16" fontId="1" fillId="7" borderId="36" xfId="0" applyNumberFormat="1" applyFont="1" applyFill="1" applyBorder="1" applyAlignment="1">
      <alignment horizontal="center" vertical="center"/>
    </xf>
    <xf numFmtId="16" fontId="1" fillId="7" borderId="55" xfId="0" applyNumberFormat="1" applyFont="1" applyFill="1" applyBorder="1" applyAlignment="1">
      <alignment horizontal="center" vertical="center"/>
    </xf>
    <xf numFmtId="16" fontId="1" fillId="12" borderId="25" xfId="0" applyNumberFormat="1" applyFont="1" applyFill="1" applyBorder="1" applyAlignment="1">
      <alignment horizontal="center" vertical="center"/>
    </xf>
    <xf numFmtId="16" fontId="1" fillId="12" borderId="60" xfId="0" applyNumberFormat="1" applyFont="1" applyFill="1" applyBorder="1" applyAlignment="1">
      <alignment horizontal="center" vertical="center"/>
    </xf>
    <xf numFmtId="16" fontId="1" fillId="12" borderId="36" xfId="0" applyNumberFormat="1" applyFont="1" applyFill="1" applyBorder="1" applyAlignment="1">
      <alignment horizontal="center" vertical="center"/>
    </xf>
    <xf numFmtId="16" fontId="1" fillId="12" borderId="26" xfId="0" applyNumberFormat="1" applyFont="1" applyFill="1" applyBorder="1" applyAlignment="1">
      <alignment horizontal="center" vertical="center"/>
    </xf>
    <xf numFmtId="16" fontId="1" fillId="3" borderId="59" xfId="0" applyNumberFormat="1" applyFont="1" applyFill="1" applyBorder="1" applyAlignment="1">
      <alignment horizontal="center" vertical="center"/>
    </xf>
    <xf numFmtId="16" fontId="1" fillId="3" borderId="12" xfId="0" applyNumberFormat="1" applyFont="1" applyFill="1" applyBorder="1" applyAlignment="1">
      <alignment horizontal="center" vertical="center"/>
    </xf>
    <xf numFmtId="16" fontId="1" fillId="7" borderId="1" xfId="0" applyNumberFormat="1" applyFont="1" applyFill="1" applyBorder="1" applyAlignment="1">
      <alignment horizontal="center" vertical="center"/>
    </xf>
    <xf numFmtId="16" fontId="1" fillId="7" borderId="23" xfId="0" applyNumberFormat="1" applyFont="1" applyFill="1" applyBorder="1" applyAlignment="1">
      <alignment horizontal="center" vertical="center"/>
    </xf>
    <xf numFmtId="16" fontId="1" fillId="7" borderId="24" xfId="0" applyNumberFormat="1" applyFont="1" applyFill="1" applyBorder="1" applyAlignment="1">
      <alignment horizontal="center" vertical="center"/>
    </xf>
    <xf numFmtId="16" fontId="1" fillId="7" borderId="2" xfId="0" applyNumberFormat="1" applyFont="1" applyFill="1" applyBorder="1" applyAlignment="1">
      <alignment horizontal="center" vertical="center"/>
    </xf>
    <xf numFmtId="16" fontId="1" fillId="7" borderId="18" xfId="0" applyNumberFormat="1" applyFont="1" applyFill="1" applyBorder="1" applyAlignment="1">
      <alignment horizontal="center" vertical="center"/>
    </xf>
    <xf numFmtId="16" fontId="1" fillId="7" borderId="19" xfId="0" applyNumberFormat="1" applyFont="1" applyFill="1" applyBorder="1" applyAlignment="1">
      <alignment horizontal="center" vertical="center"/>
    </xf>
    <xf numFmtId="16" fontId="1" fillId="7" borderId="3" xfId="0" applyNumberFormat="1" applyFont="1" applyFill="1" applyBorder="1" applyAlignment="1">
      <alignment horizontal="center" vertical="center"/>
    </xf>
    <xf numFmtId="16" fontId="4" fillId="7" borderId="28" xfId="0" applyNumberFormat="1" applyFont="1" applyFill="1" applyBorder="1" applyAlignment="1">
      <alignment horizontal="center" vertical="center"/>
    </xf>
    <xf numFmtId="16" fontId="4" fillId="7" borderId="9" xfId="0" applyNumberFormat="1" applyFont="1" applyFill="1" applyBorder="1" applyAlignment="1">
      <alignment horizontal="center" vertical="center"/>
    </xf>
    <xf numFmtId="16" fontId="1" fillId="7" borderId="28" xfId="0" applyNumberFormat="1" applyFont="1" applyFill="1" applyBorder="1" applyAlignment="1">
      <alignment horizontal="center" vertical="center"/>
    </xf>
    <xf numFmtId="16" fontId="1" fillId="7" borderId="61" xfId="0" applyNumberFormat="1" applyFont="1" applyFill="1" applyBorder="1" applyAlignment="1">
      <alignment horizontal="center" vertical="center"/>
    </xf>
    <xf numFmtId="16" fontId="1" fillId="5" borderId="16" xfId="0" applyNumberFormat="1" applyFont="1" applyFill="1" applyBorder="1" applyAlignment="1">
      <alignment horizontal="center" vertical="center"/>
    </xf>
    <xf numFmtId="16" fontId="1" fillId="5" borderId="17" xfId="0" applyNumberFormat="1" applyFont="1" applyFill="1" applyBorder="1" applyAlignment="1">
      <alignment horizontal="center" vertical="center"/>
    </xf>
    <xf numFmtId="16" fontId="4" fillId="19" borderId="48" xfId="0" applyNumberFormat="1" applyFont="1" applyFill="1" applyBorder="1" applyAlignment="1">
      <alignment horizontal="center" vertical="center"/>
    </xf>
    <xf numFmtId="16" fontId="4" fillId="19" borderId="14" xfId="0" applyNumberFormat="1" applyFont="1" applyFill="1" applyBorder="1" applyAlignment="1">
      <alignment horizontal="center" vertical="center"/>
    </xf>
    <xf numFmtId="16" fontId="1" fillId="3" borderId="58" xfId="0" applyNumberFormat="1" applyFont="1" applyFill="1" applyBorder="1" applyAlignment="1">
      <alignment horizontal="center" vertical="center"/>
    </xf>
    <xf numFmtId="16" fontId="1" fillId="7" borderId="9" xfId="0" applyNumberFormat="1" applyFont="1" applyFill="1" applyBorder="1" applyAlignment="1">
      <alignment horizontal="center" vertical="center"/>
    </xf>
    <xf numFmtId="16" fontId="1" fillId="12" borderId="18" xfId="0" applyNumberFormat="1" applyFont="1" applyFill="1" applyBorder="1" applyAlignment="1">
      <alignment horizontal="center" vertical="center"/>
    </xf>
    <xf numFmtId="16" fontId="1" fillId="3" borderId="56" xfId="0" applyNumberFormat="1" applyFont="1" applyFill="1" applyBorder="1" applyAlignment="1">
      <alignment horizontal="center" vertical="center"/>
    </xf>
    <xf numFmtId="16" fontId="1" fillId="3" borderId="9" xfId="0" applyNumberFormat="1" applyFont="1" applyFill="1" applyBorder="1" applyAlignment="1">
      <alignment horizontal="center" vertical="center"/>
    </xf>
    <xf numFmtId="16" fontId="1" fillId="3" borderId="28" xfId="0" applyNumberFormat="1" applyFont="1" applyFill="1" applyBorder="1" applyAlignment="1">
      <alignment horizontal="center" vertical="center"/>
    </xf>
    <xf numFmtId="16" fontId="1" fillId="3" borderId="57" xfId="0" applyNumberFormat="1" applyFont="1" applyFill="1" applyBorder="1" applyAlignment="1">
      <alignment horizontal="center" vertical="center"/>
    </xf>
    <xf numFmtId="16" fontId="1" fillId="3" borderId="5" xfId="0" applyNumberFormat="1" applyFont="1" applyFill="1" applyBorder="1" applyAlignment="1">
      <alignment horizontal="center" vertical="center"/>
    </xf>
    <xf numFmtId="16" fontId="1" fillId="3" borderId="6" xfId="0" applyNumberFormat="1" applyFont="1" applyFill="1" applyBorder="1" applyAlignment="1">
      <alignment horizontal="center" vertical="center"/>
    </xf>
    <xf numFmtId="16" fontId="1" fillId="7" borderId="34" xfId="0" applyNumberFormat="1" applyFont="1" applyFill="1" applyBorder="1" applyAlignment="1">
      <alignment horizontal="center" vertical="center"/>
    </xf>
    <xf numFmtId="16" fontId="1" fillId="12" borderId="19" xfId="0" applyNumberFormat="1" applyFont="1" applyFill="1" applyBorder="1" applyAlignment="1">
      <alignment horizontal="center" vertical="center"/>
    </xf>
    <xf numFmtId="16" fontId="1" fillId="3" borderId="7" xfId="0" applyNumberFormat="1" applyFont="1" applyFill="1" applyBorder="1" applyAlignment="1">
      <alignment horizontal="center" vertical="center"/>
    </xf>
    <xf numFmtId="16" fontId="1" fillId="3" borderId="8" xfId="0" applyNumberFormat="1" applyFont="1" applyFill="1" applyBorder="1" applyAlignment="1">
      <alignment horizontal="center" vertical="center"/>
    </xf>
    <xf numFmtId="16" fontId="1" fillId="7" borderId="35" xfId="0" applyNumberFormat="1" applyFont="1" applyFill="1" applyBorder="1" applyAlignment="1">
      <alignment horizontal="center" vertical="center"/>
    </xf>
    <xf numFmtId="16" fontId="1" fillId="7" borderId="33" xfId="0" applyNumberFormat="1" applyFont="1" applyFill="1" applyBorder="1" applyAlignment="1">
      <alignment horizontal="center" vertical="center"/>
    </xf>
    <xf numFmtId="16" fontId="4" fillId="7" borderId="29" xfId="0" applyNumberFormat="1" applyFont="1" applyFill="1" applyBorder="1" applyAlignment="1">
      <alignment horizontal="center" vertical="center"/>
    </xf>
    <xf numFmtId="16" fontId="4" fillId="7" borderId="30" xfId="0" applyNumberFormat="1" applyFont="1" applyFill="1" applyBorder="1" applyAlignment="1">
      <alignment horizontal="center" vertical="center"/>
    </xf>
    <xf numFmtId="16" fontId="1" fillId="7" borderId="31" xfId="0" applyNumberFormat="1" applyFont="1" applyFill="1" applyBorder="1" applyAlignment="1">
      <alignment horizontal="center" vertical="center"/>
    </xf>
    <xf numFmtId="16" fontId="1" fillId="7" borderId="32" xfId="0" applyNumberFormat="1" applyFont="1" applyFill="1" applyBorder="1" applyAlignment="1">
      <alignment horizontal="center" vertical="center"/>
    </xf>
    <xf numFmtId="16" fontId="1" fillId="3" borderId="20" xfId="0" applyNumberFormat="1" applyFont="1" applyFill="1" applyBorder="1" applyAlignment="1">
      <alignment horizontal="center" vertical="center"/>
    </xf>
    <xf numFmtId="16" fontId="1" fillId="3" borderId="21" xfId="0" applyNumberFormat="1" applyFont="1" applyFill="1" applyBorder="1" applyAlignment="1">
      <alignment horizontal="center" vertical="center"/>
    </xf>
    <xf numFmtId="16" fontId="1" fillId="3" borderId="22" xfId="0" applyNumberFormat="1" applyFont="1" applyFill="1" applyBorder="1" applyAlignment="1">
      <alignment horizontal="center" vertical="center"/>
    </xf>
    <xf numFmtId="16" fontId="4" fillId="5" borderId="11" xfId="0" applyNumberFormat="1" applyFont="1" applyFill="1" applyBorder="1" applyAlignment="1">
      <alignment horizontal="center" vertical="center"/>
    </xf>
    <xf numFmtId="16" fontId="4" fillId="5" borderId="12" xfId="0" applyNumberFormat="1" applyFont="1" applyFill="1" applyBorder="1" applyAlignment="1">
      <alignment horizontal="left" vertical="center"/>
    </xf>
    <xf numFmtId="20" fontId="6" fillId="12" borderId="46" xfId="0" applyNumberFormat="1" applyFont="1" applyFill="1" applyBorder="1" applyAlignment="1">
      <alignment horizontal="center" vertical="center"/>
    </xf>
    <xf numFmtId="20" fontId="6" fillId="12" borderId="47" xfId="0" applyNumberFormat="1" applyFont="1" applyFill="1" applyBorder="1" applyAlignment="1">
      <alignment horizontal="center" vertical="center"/>
    </xf>
    <xf numFmtId="20" fontId="6" fillId="12" borderId="43" xfId="0" applyNumberFormat="1" applyFont="1" applyFill="1" applyBorder="1" applyAlignment="1">
      <alignment horizontal="center" vertical="center"/>
    </xf>
    <xf numFmtId="20" fontId="7" fillId="12" borderId="50" xfId="0" applyNumberFormat="1" applyFont="1" applyFill="1" applyBorder="1" applyAlignment="1">
      <alignment horizontal="center"/>
    </xf>
    <xf numFmtId="20" fontId="7" fillId="12" borderId="51" xfId="0" applyNumberFormat="1" applyFont="1" applyFill="1" applyBorder="1" applyAlignment="1">
      <alignment horizontal="center"/>
    </xf>
    <xf numFmtId="20" fontId="10" fillId="12" borderId="39" xfId="0" applyNumberFormat="1" applyFont="1" applyFill="1" applyBorder="1" applyAlignment="1">
      <alignment horizontal="center"/>
    </xf>
    <xf numFmtId="20" fontId="10" fillId="12" borderId="41" xfId="0" applyNumberFormat="1" applyFont="1" applyFill="1" applyBorder="1" applyAlignment="1">
      <alignment horizontal="center"/>
    </xf>
    <xf numFmtId="20" fontId="10" fillId="12" borderId="10" xfId="0" applyNumberFormat="1" applyFont="1" applyFill="1" applyBorder="1" applyAlignment="1">
      <alignment horizontal="center"/>
    </xf>
    <xf numFmtId="20" fontId="10" fillId="12" borderId="0" xfId="0" applyNumberFormat="1" applyFont="1" applyFill="1" applyAlignment="1">
      <alignment horizontal="center"/>
    </xf>
    <xf numFmtId="20" fontId="10" fillId="12" borderId="49" xfId="0" applyNumberFormat="1" applyFont="1" applyFill="1" applyBorder="1" applyAlignment="1">
      <alignment horizontal="center"/>
    </xf>
    <xf numFmtId="20" fontId="10" fillId="12" borderId="53" xfId="0" applyNumberFormat="1" applyFont="1" applyFill="1" applyBorder="1" applyAlignment="1">
      <alignment horizontal="center"/>
    </xf>
    <xf numFmtId="20" fontId="10" fillId="12" borderId="52" xfId="0" applyNumberFormat="1" applyFont="1" applyFill="1" applyBorder="1" applyAlignment="1">
      <alignment horizontal="center"/>
    </xf>
    <xf numFmtId="20" fontId="7" fillId="12" borderId="40" xfId="0" applyNumberFormat="1" applyFont="1" applyFill="1" applyBorder="1" applyAlignment="1">
      <alignment horizontal="center" wrapText="1"/>
    </xf>
    <xf numFmtId="16" fontId="1" fillId="2" borderId="1" xfId="0" applyNumberFormat="1" applyFont="1" applyFill="1" applyBorder="1" applyAlignment="1">
      <alignment horizontal="center" vertical="center"/>
    </xf>
    <xf numFmtId="16" fontId="1" fillId="2" borderId="23" xfId="0" applyNumberFormat="1" applyFont="1" applyFill="1" applyBorder="1" applyAlignment="1">
      <alignment horizontal="center" vertical="center"/>
    </xf>
    <xf numFmtId="16" fontId="1" fillId="2" borderId="24" xfId="0" applyNumberFormat="1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16" fontId="1" fillId="2" borderId="18" xfId="0" applyNumberFormat="1" applyFont="1" applyFill="1" applyBorder="1" applyAlignment="1">
      <alignment horizontal="center" vertical="center"/>
    </xf>
    <xf numFmtId="16" fontId="1" fillId="2" borderId="19" xfId="0" applyNumberFormat="1" applyFont="1" applyFill="1" applyBorder="1" applyAlignment="1">
      <alignment horizontal="center" vertical="center"/>
    </xf>
    <xf numFmtId="16" fontId="1" fillId="2" borderId="60" xfId="0" applyNumberFormat="1" applyFont="1" applyFill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  <xf numFmtId="16" fontId="4" fillId="2" borderId="28" xfId="0" applyNumberFormat="1" applyFont="1" applyFill="1" applyBorder="1" applyAlignment="1">
      <alignment horizontal="center" vertical="center"/>
    </xf>
    <xf numFmtId="16" fontId="4" fillId="2" borderId="9" xfId="0" applyNumberFormat="1" applyFont="1" applyFill="1" applyBorder="1" applyAlignment="1">
      <alignment horizontal="center" vertical="center"/>
    </xf>
    <xf numFmtId="16" fontId="1" fillId="2" borderId="28" xfId="0" applyNumberFormat="1" applyFont="1" applyFill="1" applyBorder="1" applyAlignment="1">
      <alignment horizontal="center" vertical="center"/>
    </xf>
    <xf numFmtId="16" fontId="1" fillId="2" borderId="61" xfId="0" applyNumberFormat="1" applyFont="1" applyFill="1" applyBorder="1" applyAlignment="1">
      <alignment horizontal="center" vertical="center"/>
    </xf>
    <xf numFmtId="16" fontId="1" fillId="2" borderId="62" xfId="0" applyNumberFormat="1" applyFont="1" applyFill="1" applyBorder="1" applyAlignment="1">
      <alignment horizontal="center" vertical="center"/>
    </xf>
    <xf numFmtId="16" fontId="1" fillId="2" borderId="25" xfId="0" applyNumberFormat="1" applyFont="1" applyFill="1" applyBorder="1" applyAlignment="1">
      <alignment horizontal="center" vertical="center"/>
    </xf>
    <xf numFmtId="16" fontId="1" fillId="2" borderId="26" xfId="0" applyNumberFormat="1" applyFont="1" applyFill="1" applyBorder="1" applyAlignment="1">
      <alignment horizontal="center" vertical="center"/>
    </xf>
    <xf numFmtId="16" fontId="1" fillId="2" borderId="55" xfId="0" applyNumberFormat="1" applyFont="1" applyFill="1" applyBorder="1" applyAlignment="1">
      <alignment horizontal="center" vertical="center"/>
    </xf>
    <xf numFmtId="16" fontId="1" fillId="2" borderId="34" xfId="0" applyNumberFormat="1" applyFont="1" applyFill="1" applyBorder="1" applyAlignment="1">
      <alignment horizontal="center" vertical="center"/>
    </xf>
    <xf numFmtId="16" fontId="1" fillId="2" borderId="9" xfId="0" applyNumberFormat="1" applyFont="1" applyFill="1" applyBorder="1" applyAlignment="1">
      <alignment horizontal="center" vertical="center"/>
    </xf>
    <xf numFmtId="20" fontId="13" fillId="1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8266-C07C-454D-AA3A-ABE40180EE9B}">
  <dimension ref="A1:P220"/>
  <sheetViews>
    <sheetView tabSelected="1" workbookViewId="0">
      <selection activeCell="U4" sqref="U4"/>
    </sheetView>
  </sheetViews>
  <sheetFormatPr defaultColWidth="11" defaultRowHeight="15.75" x14ac:dyDescent="0.25"/>
  <sheetData>
    <row r="1" spans="1:16" ht="16.5" thickBot="1" x14ac:dyDescent="0.3"/>
    <row r="2" spans="1:16" ht="16.5" thickBo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1:16" ht="16.5" thickBot="1" x14ac:dyDescent="0.3">
      <c r="A3" s="4"/>
      <c r="B3" s="155"/>
      <c r="C3" s="156"/>
      <c r="D3" s="159"/>
      <c r="E3" s="160"/>
      <c r="F3" s="155"/>
      <c r="G3" s="156"/>
      <c r="H3" s="159"/>
      <c r="I3" s="156"/>
      <c r="J3" s="159"/>
      <c r="K3" s="156"/>
      <c r="L3" s="159"/>
      <c r="M3" s="156"/>
      <c r="N3" s="159"/>
      <c r="O3" s="156"/>
      <c r="P3" s="5"/>
    </row>
    <row r="4" spans="1:16" ht="16.5" thickBot="1" x14ac:dyDescent="0.3">
      <c r="A4" s="6"/>
      <c r="B4" s="170"/>
      <c r="C4" s="171"/>
      <c r="D4" s="170"/>
      <c r="E4" s="171"/>
      <c r="F4" s="170"/>
      <c r="G4" s="171"/>
      <c r="H4" s="170"/>
      <c r="I4" s="171"/>
      <c r="J4" s="9"/>
      <c r="K4" s="9"/>
      <c r="L4" s="10"/>
      <c r="M4" s="10"/>
      <c r="N4" s="10"/>
      <c r="O4" s="11"/>
      <c r="P4" s="5"/>
    </row>
    <row r="5" spans="1:16" ht="16.5" thickBot="1" x14ac:dyDescent="0.3">
      <c r="A5" s="12"/>
      <c r="B5" s="144"/>
      <c r="C5" s="145"/>
      <c r="D5" s="13" t="s">
        <v>1</v>
      </c>
      <c r="E5" s="14" t="s">
        <v>2</v>
      </c>
      <c r="F5" s="170"/>
      <c r="G5" s="171"/>
      <c r="H5" s="13" t="s">
        <v>1</v>
      </c>
      <c r="I5" s="14" t="s">
        <v>3</v>
      </c>
      <c r="J5" s="170"/>
      <c r="K5" s="171"/>
      <c r="L5" s="13" t="s">
        <v>1</v>
      </c>
      <c r="M5" s="14"/>
      <c r="N5" s="13" t="s">
        <v>1</v>
      </c>
      <c r="O5" s="14"/>
      <c r="P5" s="5"/>
    </row>
    <row r="6" spans="1:16" ht="16.5" thickBot="1" x14ac:dyDescent="0.3">
      <c r="A6" s="12"/>
      <c r="B6" s="167" t="s">
        <v>4</v>
      </c>
      <c r="C6" s="168"/>
      <c r="D6" s="169" t="s">
        <v>5</v>
      </c>
      <c r="E6" s="168"/>
      <c r="F6" s="169" t="s">
        <v>6</v>
      </c>
      <c r="G6" s="168"/>
      <c r="H6" s="169" t="s">
        <v>7</v>
      </c>
      <c r="I6" s="168"/>
      <c r="J6" s="169" t="s">
        <v>8</v>
      </c>
      <c r="K6" s="168"/>
      <c r="L6" s="169" t="s">
        <v>9</v>
      </c>
      <c r="M6" s="168"/>
      <c r="N6" s="169" t="s">
        <v>10</v>
      </c>
      <c r="O6" s="168"/>
      <c r="P6" s="5"/>
    </row>
    <row r="7" spans="1:16" ht="16.5" thickBot="1" x14ac:dyDescent="0.3">
      <c r="A7" s="15" t="s">
        <v>11</v>
      </c>
      <c r="B7" s="133"/>
      <c r="C7" s="134"/>
      <c r="D7" s="135"/>
      <c r="E7" s="134"/>
      <c r="F7" s="135"/>
      <c r="G7" s="139"/>
      <c r="H7" s="121"/>
      <c r="I7" s="122"/>
      <c r="J7" s="137"/>
      <c r="K7" s="138"/>
      <c r="L7" s="133"/>
      <c r="M7" s="136"/>
      <c r="N7" s="136"/>
      <c r="O7" s="139"/>
      <c r="P7" s="16" t="s">
        <v>15</v>
      </c>
    </row>
    <row r="8" spans="1:16" ht="16.5" thickBot="1" x14ac:dyDescent="0.3">
      <c r="A8" s="17" t="s">
        <v>16</v>
      </c>
      <c r="B8" s="163"/>
      <c r="C8" s="164"/>
      <c r="D8" s="123"/>
      <c r="E8" s="165"/>
      <c r="F8" s="166"/>
      <c r="G8" s="124"/>
      <c r="H8" s="121"/>
      <c r="I8" s="122"/>
      <c r="J8" s="162"/>
      <c r="K8" s="157"/>
      <c r="L8" s="123"/>
      <c r="M8" s="161"/>
      <c r="N8" s="161"/>
      <c r="O8" s="124"/>
      <c r="P8" s="18"/>
    </row>
    <row r="9" spans="1:16" ht="16.5" thickBot="1" x14ac:dyDescent="0.3">
      <c r="A9" s="121" t="s">
        <v>20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2"/>
      <c r="P9" s="19" t="s">
        <v>21</v>
      </c>
    </row>
    <row r="10" spans="1:16" ht="16.5" thickBot="1" x14ac:dyDescent="0.3">
      <c r="A10" s="20" t="s">
        <v>13</v>
      </c>
      <c r="B10" s="103"/>
      <c r="C10" s="104"/>
      <c r="D10" s="103"/>
      <c r="E10" s="104"/>
      <c r="F10" s="103"/>
      <c r="G10" s="104"/>
      <c r="H10" s="103"/>
      <c r="I10" s="74"/>
      <c r="J10" s="103"/>
      <c r="K10" s="104"/>
      <c r="L10" s="22"/>
      <c r="M10" s="23"/>
      <c r="N10" s="22"/>
      <c r="O10" s="23"/>
      <c r="P10" s="21">
        <f>(((((C10-B10))))+(E10-D10)+(G10-F10)+(I10-H10)+((K10-J10))+(M10-L10))*24</f>
        <v>0</v>
      </c>
    </row>
    <row r="11" spans="1:16" ht="16.5" thickBot="1" x14ac:dyDescent="0.3">
      <c r="A11" s="20" t="s">
        <v>12</v>
      </c>
      <c r="B11" s="103"/>
      <c r="C11" s="104"/>
      <c r="D11" s="103"/>
      <c r="E11" s="104"/>
      <c r="F11" s="103"/>
      <c r="G11" s="104"/>
      <c r="H11" s="103"/>
      <c r="I11" s="74"/>
      <c r="J11" s="103"/>
      <c r="K11" s="104"/>
      <c r="L11" s="22"/>
      <c r="M11" s="23"/>
      <c r="N11" s="24"/>
      <c r="O11" s="25"/>
      <c r="P11" s="21">
        <f t="shared" ref="P11:P14" si="0">(((((C11-B11))))+(E11-D11)+(G11-F11)+(I11-H11)+((K11-J11))+(M11-L11))*24</f>
        <v>0</v>
      </c>
    </row>
    <row r="12" spans="1:16" ht="16.5" thickBot="1" x14ac:dyDescent="0.3">
      <c r="A12" s="20" t="s">
        <v>22</v>
      </c>
      <c r="B12" s="103"/>
      <c r="C12" s="104"/>
      <c r="D12" s="103"/>
      <c r="E12" s="104"/>
      <c r="F12" s="103"/>
      <c r="G12" s="104"/>
      <c r="H12" s="103"/>
      <c r="I12" s="74"/>
      <c r="J12" s="103"/>
      <c r="K12" s="104"/>
      <c r="L12" s="22"/>
      <c r="M12" s="23"/>
      <c r="N12" s="22"/>
      <c r="O12" s="23"/>
      <c r="P12" s="21">
        <f t="shared" si="0"/>
        <v>0</v>
      </c>
    </row>
    <row r="13" spans="1:16" ht="16.5" thickBot="1" x14ac:dyDescent="0.3">
      <c r="A13" s="26" t="s">
        <v>14</v>
      </c>
      <c r="B13" s="103"/>
      <c r="C13" s="74"/>
      <c r="D13" s="103"/>
      <c r="E13" s="74"/>
      <c r="F13" s="103"/>
      <c r="G13" s="74"/>
      <c r="H13" s="103"/>
      <c r="I13" s="74"/>
      <c r="J13" s="103"/>
      <c r="K13" s="104"/>
      <c r="L13" s="22"/>
      <c r="M13" s="23"/>
      <c r="N13" s="22"/>
      <c r="O13" s="23"/>
      <c r="P13" s="21">
        <f t="shared" si="0"/>
        <v>0</v>
      </c>
    </row>
    <row r="14" spans="1:16" ht="16.5" thickBot="1" x14ac:dyDescent="0.3">
      <c r="A14" s="27" t="s">
        <v>23</v>
      </c>
      <c r="B14" s="103"/>
      <c r="C14" s="74"/>
      <c r="D14" s="103"/>
      <c r="E14" s="74"/>
      <c r="F14" s="103"/>
      <c r="G14" s="74"/>
      <c r="H14" s="103"/>
      <c r="I14" s="74"/>
      <c r="J14" s="103"/>
      <c r="K14" s="104"/>
      <c r="L14" s="28"/>
      <c r="M14" s="29"/>
      <c r="N14" s="28"/>
      <c r="O14" s="29"/>
      <c r="P14" s="21">
        <f t="shared" si="0"/>
        <v>0</v>
      </c>
    </row>
    <row r="15" spans="1:16" ht="16.5" thickBot="1" x14ac:dyDescent="0.3">
      <c r="A15" s="127" t="s">
        <v>24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30"/>
      <c r="P15" s="30"/>
    </row>
    <row r="16" spans="1:16" ht="16.5" thickBot="1" x14ac:dyDescent="0.3">
      <c r="A16" s="31" t="s">
        <v>18</v>
      </c>
      <c r="B16" s="32"/>
      <c r="C16" s="33"/>
      <c r="D16" s="172"/>
      <c r="E16" s="172"/>
      <c r="F16" s="173"/>
      <c r="G16" s="174"/>
      <c r="H16" s="34"/>
      <c r="I16" s="35"/>
      <c r="J16" s="22"/>
      <c r="K16" s="22"/>
      <c r="L16" s="36"/>
      <c r="M16" s="35"/>
      <c r="N16" s="22"/>
      <c r="O16" s="23"/>
      <c r="P16" s="21">
        <f>(((((C16-B16))))+(E16-D16)+(G16-F16)+(I16-H16)+((K16-J16))+(M16-L16)+((O16-N16)*1.5))*24</f>
        <v>0</v>
      </c>
    </row>
    <row r="17" spans="1:16" ht="16.5" thickBot="1" x14ac:dyDescent="0.3">
      <c r="A17" s="37" t="s">
        <v>2</v>
      </c>
      <c r="B17" s="38"/>
      <c r="C17" s="39"/>
      <c r="D17" s="43"/>
      <c r="E17" s="43"/>
      <c r="F17" s="38"/>
      <c r="G17" s="39"/>
      <c r="H17" s="40"/>
      <c r="I17" s="41"/>
      <c r="J17" s="42"/>
      <c r="K17" s="42"/>
      <c r="L17" s="53"/>
      <c r="M17" s="23"/>
      <c r="N17" s="22"/>
      <c r="O17" s="23"/>
      <c r="P17" s="21">
        <f t="shared" ref="P17:P33" si="1">(((((C17-B17))))+(E17-D17)+(G17-F17)+(I17-H17)+((K17-J17))+(M17-L17)+((O17-N17)*1.5))*24</f>
        <v>0</v>
      </c>
    </row>
    <row r="18" spans="1:16" ht="16.5" thickBot="1" x14ac:dyDescent="0.3">
      <c r="A18" s="37" t="s">
        <v>17</v>
      </c>
      <c r="B18" s="78"/>
      <c r="C18" s="41"/>
      <c r="D18" s="43"/>
      <c r="E18" s="43"/>
      <c r="F18" s="57"/>
      <c r="G18" s="44"/>
      <c r="H18" s="43"/>
      <c r="I18" s="44"/>
      <c r="J18" s="42"/>
      <c r="K18" s="42"/>
      <c r="L18" s="45"/>
      <c r="M18" s="46"/>
      <c r="N18" s="47"/>
      <c r="O18" s="46"/>
      <c r="P18" s="21">
        <f t="shared" si="1"/>
        <v>0</v>
      </c>
    </row>
    <row r="19" spans="1:16" ht="16.5" thickBot="1" x14ac:dyDescent="0.3">
      <c r="A19" s="37" t="s">
        <v>19</v>
      </c>
      <c r="B19" s="45"/>
      <c r="C19" s="46"/>
      <c r="D19" s="22"/>
      <c r="E19" s="22"/>
      <c r="F19" s="38"/>
      <c r="G19" s="39"/>
      <c r="H19" s="40"/>
      <c r="I19" s="41"/>
      <c r="J19" s="42"/>
      <c r="K19" s="42"/>
      <c r="L19" s="45"/>
      <c r="M19" s="46"/>
      <c r="N19" s="47"/>
      <c r="O19" s="46"/>
      <c r="P19" s="21">
        <f t="shared" si="1"/>
        <v>0</v>
      </c>
    </row>
    <row r="20" spans="1:16" ht="16.5" thickBot="1" x14ac:dyDescent="0.3">
      <c r="A20" s="48" t="s">
        <v>25</v>
      </c>
      <c r="B20" s="38"/>
      <c r="C20" s="39"/>
      <c r="D20" s="84"/>
      <c r="E20" s="84"/>
      <c r="F20" s="49"/>
      <c r="G20" s="50"/>
      <c r="H20" s="43"/>
      <c r="I20" s="44"/>
      <c r="J20" s="22"/>
      <c r="K20" s="22"/>
      <c r="L20" s="51"/>
      <c r="M20" s="25"/>
      <c r="N20" s="24"/>
      <c r="O20" s="25"/>
      <c r="P20" s="21">
        <f t="shared" si="1"/>
        <v>0</v>
      </c>
    </row>
    <row r="21" spans="1:16" ht="16.5" thickBot="1" x14ac:dyDescent="0.3">
      <c r="A21" s="52" t="s">
        <v>26</v>
      </c>
      <c r="B21" s="49"/>
      <c r="C21" s="50"/>
      <c r="D21" s="42"/>
      <c r="E21" s="42"/>
      <c r="F21" s="175"/>
      <c r="G21" s="176"/>
      <c r="H21" s="84"/>
      <c r="I21" s="82"/>
      <c r="J21" s="22"/>
      <c r="K21" s="22"/>
      <c r="L21" s="53"/>
      <c r="M21" s="23"/>
      <c r="N21" s="22"/>
      <c r="O21" s="23"/>
      <c r="P21" s="21">
        <f t="shared" si="1"/>
        <v>0</v>
      </c>
    </row>
    <row r="22" spans="1:16" ht="16.5" thickBot="1" x14ac:dyDescent="0.3">
      <c r="A22" s="52" t="s">
        <v>27</v>
      </c>
      <c r="B22" s="81"/>
      <c r="C22" s="82"/>
      <c r="D22" s="42"/>
      <c r="E22" s="42"/>
      <c r="F22" s="49"/>
      <c r="G22" s="50"/>
      <c r="H22" s="43"/>
      <c r="I22" s="44"/>
      <c r="J22" s="22"/>
      <c r="K22" s="22"/>
      <c r="L22" s="53"/>
      <c r="M22" s="23"/>
      <c r="N22" s="22"/>
      <c r="O22" s="23"/>
      <c r="P22" s="21">
        <f t="shared" si="1"/>
        <v>0</v>
      </c>
    </row>
    <row r="23" spans="1:16" ht="16.5" thickBot="1" x14ac:dyDescent="0.3">
      <c r="A23" s="52" t="s">
        <v>28</v>
      </c>
      <c r="B23" s="38"/>
      <c r="C23" s="39"/>
      <c r="D23" s="42"/>
      <c r="E23" s="42"/>
      <c r="F23" s="117"/>
      <c r="G23" s="86"/>
      <c r="H23" s="42"/>
      <c r="I23" s="42"/>
      <c r="J23" s="53"/>
      <c r="K23" s="22"/>
      <c r="L23" s="53"/>
      <c r="M23" s="23"/>
      <c r="N23" s="22"/>
      <c r="O23" s="23"/>
      <c r="P23" s="21">
        <f t="shared" si="1"/>
        <v>0</v>
      </c>
    </row>
    <row r="24" spans="1:16" ht="16.5" thickBot="1" x14ac:dyDescent="0.3">
      <c r="A24" s="52" t="s">
        <v>29</v>
      </c>
      <c r="B24" s="54"/>
      <c r="C24" s="55"/>
      <c r="D24" s="43"/>
      <c r="E24" s="43"/>
      <c r="F24" s="57"/>
      <c r="G24" s="44"/>
      <c r="H24" s="43"/>
      <c r="I24" s="44"/>
      <c r="J24" s="22"/>
      <c r="K24" s="22"/>
      <c r="L24" s="53"/>
      <c r="M24" s="23"/>
      <c r="N24" s="22"/>
      <c r="O24" s="23"/>
      <c r="P24" s="21">
        <f t="shared" si="1"/>
        <v>0</v>
      </c>
    </row>
    <row r="25" spans="1:16" ht="16.5" thickBot="1" x14ac:dyDescent="0.3">
      <c r="A25" s="56" t="s">
        <v>30</v>
      </c>
      <c r="B25" s="53"/>
      <c r="C25" s="23"/>
      <c r="D25" s="43"/>
      <c r="E25" s="43"/>
      <c r="F25" s="57"/>
      <c r="G25" s="44"/>
      <c r="H25" s="43"/>
      <c r="I25" s="44"/>
      <c r="J25" s="58"/>
      <c r="K25" s="58"/>
      <c r="L25" s="53"/>
      <c r="M25" s="23"/>
      <c r="N25" s="22"/>
      <c r="O25" s="23"/>
      <c r="P25" s="21">
        <f t="shared" si="1"/>
        <v>0</v>
      </c>
    </row>
    <row r="26" spans="1:16" ht="16.5" thickBot="1" x14ac:dyDescent="0.3">
      <c r="A26" s="52" t="s">
        <v>31</v>
      </c>
      <c r="B26" s="54"/>
      <c r="C26" s="55"/>
      <c r="D26" s="58"/>
      <c r="E26" s="58"/>
      <c r="F26" s="54"/>
      <c r="G26" s="55"/>
      <c r="H26" s="58"/>
      <c r="I26" s="55"/>
      <c r="J26" s="43"/>
      <c r="K26" s="43"/>
      <c r="L26" s="53"/>
      <c r="M26" s="23"/>
      <c r="N26" s="22"/>
      <c r="O26" s="23"/>
      <c r="P26" s="21">
        <f t="shared" si="1"/>
        <v>0</v>
      </c>
    </row>
    <row r="27" spans="1:16" ht="16.5" thickBot="1" x14ac:dyDescent="0.3">
      <c r="A27" s="56" t="s">
        <v>32</v>
      </c>
      <c r="B27" s="54"/>
      <c r="C27" s="55"/>
      <c r="D27" s="59"/>
      <c r="E27" s="59"/>
      <c r="F27" s="57"/>
      <c r="G27" s="44"/>
      <c r="H27" s="60"/>
      <c r="I27" s="55"/>
      <c r="J27" s="22"/>
      <c r="K27" s="22"/>
      <c r="L27" s="53"/>
      <c r="M27" s="23"/>
      <c r="N27" s="53"/>
      <c r="O27" s="23"/>
      <c r="P27" s="21">
        <f t="shared" si="1"/>
        <v>0</v>
      </c>
    </row>
    <row r="28" spans="1:16" ht="16.5" thickBot="1" x14ac:dyDescent="0.3">
      <c r="A28" s="52" t="s">
        <v>33</v>
      </c>
      <c r="B28" s="54"/>
      <c r="C28" s="55"/>
      <c r="D28" s="58"/>
      <c r="E28" s="58"/>
      <c r="F28" s="54"/>
      <c r="G28" s="55"/>
      <c r="H28" s="58"/>
      <c r="I28" s="55"/>
      <c r="J28" s="58"/>
      <c r="K28" s="58"/>
      <c r="L28" s="53"/>
      <c r="M28" s="23"/>
      <c r="N28" s="22"/>
      <c r="O28" s="23"/>
      <c r="P28" s="21">
        <f t="shared" si="1"/>
        <v>0</v>
      </c>
    </row>
    <row r="29" spans="1:16" ht="16.5" thickBot="1" x14ac:dyDescent="0.3">
      <c r="A29" s="56" t="s">
        <v>34</v>
      </c>
      <c r="B29" s="54"/>
      <c r="C29" s="55"/>
      <c r="D29" s="58"/>
      <c r="E29" s="58"/>
      <c r="F29" s="54"/>
      <c r="G29" s="55"/>
      <c r="H29" s="58"/>
      <c r="I29" s="55"/>
      <c r="J29" s="58"/>
      <c r="K29" s="58"/>
      <c r="L29" s="53"/>
      <c r="M29" s="23"/>
      <c r="N29" s="58"/>
      <c r="O29" s="55"/>
      <c r="P29" s="21">
        <f t="shared" si="1"/>
        <v>0</v>
      </c>
    </row>
    <row r="30" spans="1:16" ht="16.5" thickBot="1" x14ac:dyDescent="0.3">
      <c r="A30" s="52" t="s">
        <v>35</v>
      </c>
      <c r="B30" s="54"/>
      <c r="C30" s="55"/>
      <c r="D30" s="43"/>
      <c r="E30" s="43"/>
      <c r="F30" s="54"/>
      <c r="G30" s="55"/>
      <c r="H30" s="58"/>
      <c r="I30" s="55"/>
      <c r="J30" s="58"/>
      <c r="K30" s="58"/>
      <c r="L30" s="53"/>
      <c r="M30" s="23"/>
      <c r="N30" s="22"/>
      <c r="O30" s="23"/>
      <c r="P30" s="21">
        <f t="shared" si="1"/>
        <v>0</v>
      </c>
    </row>
    <row r="31" spans="1:16" ht="16.5" thickBot="1" x14ac:dyDescent="0.3">
      <c r="A31" s="56" t="s">
        <v>36</v>
      </c>
      <c r="B31" s="54"/>
      <c r="C31" s="55"/>
      <c r="D31" s="58"/>
      <c r="E31" s="58"/>
      <c r="F31" s="54"/>
      <c r="G31" s="55"/>
      <c r="H31" s="58"/>
      <c r="I31" s="55"/>
      <c r="J31" s="58"/>
      <c r="K31" s="58"/>
      <c r="L31" s="53"/>
      <c r="M31" s="23"/>
      <c r="N31" s="22"/>
      <c r="O31" s="23"/>
      <c r="P31" s="21">
        <f t="shared" si="1"/>
        <v>0</v>
      </c>
    </row>
    <row r="32" spans="1:16" x14ac:dyDescent="0.25">
      <c r="A32" s="52" t="s">
        <v>37</v>
      </c>
      <c r="B32" s="54"/>
      <c r="C32" s="55"/>
      <c r="D32" s="58"/>
      <c r="E32" s="58"/>
      <c r="F32" s="54"/>
      <c r="G32" s="55"/>
      <c r="H32" s="58"/>
      <c r="I32" s="55"/>
      <c r="J32" s="58"/>
      <c r="K32" s="58"/>
      <c r="L32" s="54"/>
      <c r="M32" s="55"/>
      <c r="N32" s="58"/>
      <c r="O32" s="55"/>
      <c r="P32" s="21">
        <f t="shared" si="1"/>
        <v>0</v>
      </c>
    </row>
    <row r="33" spans="1:16" ht="16.5" thickBot="1" x14ac:dyDescent="0.3">
      <c r="A33" s="61" t="s">
        <v>38</v>
      </c>
      <c r="B33" s="62"/>
      <c r="C33" s="63"/>
      <c r="D33" s="71"/>
      <c r="E33" s="71"/>
      <c r="F33" s="62"/>
      <c r="G33" s="63"/>
      <c r="H33" s="64"/>
      <c r="I33" s="63"/>
      <c r="J33" s="64"/>
      <c r="K33" s="64"/>
      <c r="L33" s="62"/>
      <c r="M33" s="63"/>
      <c r="N33" s="64"/>
      <c r="O33" s="63"/>
      <c r="P33" s="65">
        <f t="shared" si="1"/>
        <v>0</v>
      </c>
    </row>
    <row r="34" spans="1:16" ht="16.5" thickBot="1" x14ac:dyDescent="0.3"/>
    <row r="35" spans="1:16" ht="16.5" thickBot="1" x14ac:dyDescent="0.3">
      <c r="A35" s="1" t="s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</row>
    <row r="36" spans="1:16" ht="16.5" thickBot="1" x14ac:dyDescent="0.3">
      <c r="A36" s="4"/>
      <c r="B36" s="151">
        <f>N3+1</f>
        <v>1</v>
      </c>
      <c r="C36" s="152"/>
      <c r="D36" s="153">
        <f>B36+1</f>
        <v>2</v>
      </c>
      <c r="E36" s="154"/>
      <c r="F36" s="151">
        <f>D36+1</f>
        <v>3</v>
      </c>
      <c r="G36" s="152"/>
      <c r="H36" s="155">
        <f>F36+1</f>
        <v>4</v>
      </c>
      <c r="I36" s="156"/>
      <c r="J36" s="151">
        <f>H36+1</f>
        <v>5</v>
      </c>
      <c r="K36" s="156"/>
      <c r="L36" s="155">
        <f>J36+1</f>
        <v>6</v>
      </c>
      <c r="M36" s="156"/>
      <c r="N36" s="155">
        <f>L36+1</f>
        <v>7</v>
      </c>
      <c r="O36" s="156"/>
      <c r="P36" s="5"/>
    </row>
    <row r="37" spans="1:16" ht="16.5" thickBot="1" x14ac:dyDescent="0.3">
      <c r="A37" s="6"/>
      <c r="B37" s="170"/>
      <c r="C37" s="171"/>
      <c r="D37" s="170"/>
      <c r="E37" s="171"/>
      <c r="F37" s="170"/>
      <c r="G37" s="171"/>
      <c r="H37" s="170"/>
      <c r="I37" s="171"/>
      <c r="J37" s="9"/>
      <c r="K37" s="9"/>
      <c r="L37" s="66" t="s">
        <v>39</v>
      </c>
      <c r="M37" s="67" t="s">
        <v>22</v>
      </c>
      <c r="N37" s="10"/>
      <c r="O37" s="11"/>
      <c r="P37" s="5"/>
    </row>
    <row r="38" spans="1:16" ht="16.5" thickBot="1" x14ac:dyDescent="0.3">
      <c r="A38" s="12"/>
      <c r="B38" s="144"/>
      <c r="C38" s="145"/>
      <c r="D38" s="13" t="s">
        <v>1</v>
      </c>
      <c r="E38" s="14"/>
      <c r="F38" s="170"/>
      <c r="G38" s="171"/>
      <c r="H38" s="13" t="s">
        <v>1</v>
      </c>
      <c r="I38" s="14"/>
      <c r="J38" s="170"/>
      <c r="K38" s="171"/>
      <c r="L38" s="13" t="s">
        <v>1</v>
      </c>
      <c r="M38" s="14"/>
      <c r="N38" s="13" t="s">
        <v>1</v>
      </c>
      <c r="O38" s="14"/>
      <c r="P38" s="5"/>
    </row>
    <row r="39" spans="1:16" ht="16.5" thickBot="1" x14ac:dyDescent="0.3">
      <c r="A39" s="12"/>
      <c r="B39" s="148" t="s">
        <v>4</v>
      </c>
      <c r="C39" s="132"/>
      <c r="D39" s="131" t="s">
        <v>5</v>
      </c>
      <c r="E39" s="132"/>
      <c r="F39" s="131" t="s">
        <v>6</v>
      </c>
      <c r="G39" s="132"/>
      <c r="H39" s="131" t="s">
        <v>7</v>
      </c>
      <c r="I39" s="132"/>
      <c r="J39" s="131" t="s">
        <v>8</v>
      </c>
      <c r="K39" s="132"/>
      <c r="L39" s="131" t="s">
        <v>9</v>
      </c>
      <c r="M39" s="132"/>
      <c r="N39" s="131" t="s">
        <v>10</v>
      </c>
      <c r="O39" s="132"/>
      <c r="P39" s="5"/>
    </row>
    <row r="40" spans="1:16" ht="16.5" thickBot="1" x14ac:dyDescent="0.3">
      <c r="A40" s="15" t="s">
        <v>11</v>
      </c>
      <c r="B40" s="133"/>
      <c r="C40" s="134"/>
      <c r="D40" s="135"/>
      <c r="E40" s="136"/>
      <c r="F40" s="135"/>
      <c r="G40" s="136"/>
      <c r="H40" s="137"/>
      <c r="I40" s="138"/>
      <c r="J40" s="120"/>
      <c r="K40" s="138"/>
      <c r="L40" s="136"/>
      <c r="M40" s="136"/>
      <c r="N40" s="136"/>
      <c r="O40" s="139"/>
      <c r="P40" s="16" t="s">
        <v>15</v>
      </c>
    </row>
    <row r="41" spans="1:16" ht="16.5" thickBot="1" x14ac:dyDescent="0.3">
      <c r="A41" s="17" t="s">
        <v>16</v>
      </c>
      <c r="B41" s="140"/>
      <c r="C41" s="141"/>
      <c r="D41" s="142"/>
      <c r="E41" s="143"/>
      <c r="F41" s="119"/>
      <c r="G41" s="120"/>
      <c r="H41" s="121"/>
      <c r="I41" s="122"/>
      <c r="J41" s="126"/>
      <c r="K41" s="157"/>
      <c r="L41" s="143"/>
      <c r="M41" s="143"/>
      <c r="N41" s="143"/>
      <c r="O41" s="149"/>
      <c r="P41" s="18"/>
    </row>
    <row r="42" spans="1:16" ht="16.5" thickBot="1" x14ac:dyDescent="0.3">
      <c r="A42" s="121" t="s">
        <v>20</v>
      </c>
      <c r="B42" s="125"/>
      <c r="C42" s="125"/>
      <c r="D42" s="125"/>
      <c r="E42" s="125"/>
      <c r="F42" s="125"/>
      <c r="G42" s="125"/>
      <c r="H42" s="126"/>
      <c r="I42" s="126"/>
      <c r="J42" s="126"/>
      <c r="K42" s="126"/>
      <c r="L42" s="125"/>
      <c r="M42" s="125"/>
      <c r="N42" s="125"/>
      <c r="O42" s="122"/>
      <c r="P42" s="19" t="s">
        <v>21</v>
      </c>
    </row>
    <row r="43" spans="1:16" ht="16.5" thickBot="1" x14ac:dyDescent="0.3">
      <c r="A43" s="20" t="s">
        <v>13</v>
      </c>
      <c r="B43" s="45"/>
      <c r="C43" s="46"/>
      <c r="D43" s="103"/>
      <c r="E43" s="104"/>
      <c r="F43" s="103"/>
      <c r="G43" s="104"/>
      <c r="H43" s="103"/>
      <c r="I43" s="104"/>
      <c r="J43" s="103"/>
      <c r="K43" s="104"/>
      <c r="L43" s="53"/>
      <c r="M43" s="23"/>
      <c r="N43" s="22"/>
      <c r="O43" s="23"/>
      <c r="P43" s="21">
        <f>(((((C43-B43))))+(E43-D43)+(G43-F43)+(I43-H43)+((K43-J43))+(M43-L43))*24</f>
        <v>0</v>
      </c>
    </row>
    <row r="44" spans="1:16" ht="16.5" thickBot="1" x14ac:dyDescent="0.3">
      <c r="A44" s="20" t="s">
        <v>12</v>
      </c>
      <c r="B44" s="103"/>
      <c r="C44" s="104"/>
      <c r="D44" s="103"/>
      <c r="E44" s="104"/>
      <c r="F44" s="103"/>
      <c r="G44" s="104"/>
      <c r="H44" s="103"/>
      <c r="I44" s="74"/>
      <c r="J44" s="103"/>
      <c r="K44" s="104"/>
      <c r="L44" s="58"/>
      <c r="M44" s="55"/>
      <c r="N44" s="24"/>
      <c r="O44" s="25"/>
      <c r="P44" s="21">
        <f t="shared" ref="P44:P48" si="2">(((((C44-B44))))+(E44-D44)+(G44-F44)+(I44-H44)+((K44-J44))+(M44-L44))*24</f>
        <v>0</v>
      </c>
    </row>
    <row r="45" spans="1:16" ht="16.5" thickBot="1" x14ac:dyDescent="0.3">
      <c r="A45" s="20" t="s">
        <v>22</v>
      </c>
      <c r="B45" s="103"/>
      <c r="C45" s="104"/>
      <c r="D45" s="103"/>
      <c r="E45" s="104"/>
      <c r="F45" s="103"/>
      <c r="G45" s="104"/>
      <c r="H45" s="103"/>
      <c r="I45" s="74"/>
      <c r="J45" s="103"/>
      <c r="K45" s="104"/>
      <c r="L45" s="75"/>
      <c r="M45" s="77"/>
      <c r="N45" s="22"/>
      <c r="O45" s="23"/>
      <c r="P45" s="21">
        <f t="shared" si="2"/>
        <v>0</v>
      </c>
    </row>
    <row r="46" spans="1:16" ht="16.5" thickBot="1" x14ac:dyDescent="0.3">
      <c r="A46" s="26" t="s">
        <v>14</v>
      </c>
      <c r="B46" s="103"/>
      <c r="C46" s="74"/>
      <c r="D46" s="103"/>
      <c r="E46" s="74"/>
      <c r="F46" s="103"/>
      <c r="G46" s="74"/>
      <c r="H46" s="177"/>
      <c r="I46" s="178"/>
      <c r="J46" s="103"/>
      <c r="K46" s="104"/>
      <c r="L46" s="22"/>
      <c r="M46" s="23"/>
      <c r="N46" s="22"/>
      <c r="O46" s="23"/>
      <c r="P46" s="21">
        <f t="shared" si="2"/>
        <v>0</v>
      </c>
    </row>
    <row r="47" spans="1:16" ht="16.5" thickBot="1" x14ac:dyDescent="0.3">
      <c r="A47" s="26" t="s">
        <v>23</v>
      </c>
      <c r="B47" s="103"/>
      <c r="C47" s="74"/>
      <c r="D47" s="103"/>
      <c r="E47" s="74"/>
      <c r="F47" s="103"/>
      <c r="G47" s="74"/>
      <c r="H47" s="103"/>
      <c r="I47" s="74"/>
      <c r="J47" s="103"/>
      <c r="K47" s="104"/>
      <c r="L47" s="22"/>
      <c r="M47" s="23"/>
      <c r="N47" s="22"/>
      <c r="O47" s="23"/>
      <c r="P47" s="21">
        <f t="shared" si="2"/>
        <v>0</v>
      </c>
    </row>
    <row r="48" spans="1:16" ht="16.5" thickBot="1" x14ac:dyDescent="0.3">
      <c r="A48" s="27" t="s">
        <v>37</v>
      </c>
      <c r="B48" s="117"/>
      <c r="C48" s="85"/>
      <c r="D48" s="179"/>
      <c r="E48" s="180"/>
      <c r="F48" s="117"/>
      <c r="G48" s="85"/>
      <c r="H48" s="117"/>
      <c r="I48" s="85"/>
      <c r="J48" s="117"/>
      <c r="K48" s="86"/>
      <c r="L48" s="28"/>
      <c r="M48" s="29"/>
      <c r="N48" s="28"/>
      <c r="O48" s="29"/>
      <c r="P48" s="21">
        <f t="shared" si="2"/>
        <v>0</v>
      </c>
    </row>
    <row r="49" spans="1:16" ht="16.5" thickBot="1" x14ac:dyDescent="0.3">
      <c r="A49" s="127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30"/>
      <c r="P49" s="30"/>
    </row>
    <row r="50" spans="1:16" x14ac:dyDescent="0.25">
      <c r="A50" s="68" t="s">
        <v>40</v>
      </c>
      <c r="B50" s="54"/>
      <c r="C50" s="55"/>
      <c r="D50" s="54"/>
      <c r="E50" s="55"/>
      <c r="F50" s="38"/>
      <c r="G50" s="39"/>
      <c r="H50" s="54"/>
      <c r="I50" s="55"/>
      <c r="J50" s="54"/>
      <c r="K50" s="55"/>
      <c r="L50" s="54"/>
      <c r="M50" s="55"/>
      <c r="N50" s="54"/>
      <c r="O50" s="55"/>
      <c r="P50" s="30"/>
    </row>
    <row r="51" spans="1:16" ht="16.5" thickBot="1" x14ac:dyDescent="0.3">
      <c r="A51" s="68" t="s">
        <v>41</v>
      </c>
      <c r="B51" s="69"/>
      <c r="C51" s="70"/>
      <c r="D51" s="71"/>
      <c r="E51" s="71"/>
      <c r="F51" s="72"/>
      <c r="G51" s="73"/>
      <c r="H51" s="71"/>
      <c r="I51" s="73"/>
      <c r="J51" s="74"/>
      <c r="K51" s="74"/>
      <c r="L51" s="75"/>
      <c r="M51" s="77"/>
      <c r="N51" s="75"/>
      <c r="O51" s="77"/>
      <c r="P51" s="30"/>
    </row>
    <row r="52" spans="1:16" ht="16.5" thickBot="1" x14ac:dyDescent="0.3">
      <c r="A52" s="37" t="s">
        <v>2</v>
      </c>
      <c r="B52" s="75"/>
      <c r="C52" s="76"/>
      <c r="D52" s="53"/>
      <c r="E52" s="23"/>
      <c r="F52" s="47"/>
      <c r="G52" s="46"/>
      <c r="H52" s="22"/>
      <c r="I52" s="23"/>
      <c r="J52" s="22"/>
      <c r="K52" s="22"/>
      <c r="L52" s="45"/>
      <c r="M52" s="46"/>
      <c r="N52" s="47"/>
      <c r="O52" s="46"/>
      <c r="P52" s="21">
        <f>(((((C52-B52))))+(E52-D52)+(G52-F52)+(I52-H52)+((K52-J52))+(M52-L52)+((O52-N52)*1.5))*24</f>
        <v>0</v>
      </c>
    </row>
    <row r="53" spans="1:16" ht="16.5" thickBot="1" x14ac:dyDescent="0.3">
      <c r="A53" s="37" t="s">
        <v>17</v>
      </c>
      <c r="B53" s="45"/>
      <c r="C53" s="47"/>
      <c r="D53" s="57"/>
      <c r="E53" s="44"/>
      <c r="F53" s="76"/>
      <c r="G53" s="77"/>
      <c r="H53" s="58"/>
      <c r="I53" s="55"/>
      <c r="J53" s="42"/>
      <c r="K53" s="42"/>
      <c r="L53" s="45"/>
      <c r="M53" s="46"/>
      <c r="N53" s="47"/>
      <c r="O53" s="46"/>
      <c r="P53" s="21">
        <f t="shared" ref="P53:P69" si="3">(((((C53-B53))))+(E53-D53)+(G53-F53)+(I53-H53)+((K53-J53))+(M53-L53)+((O53-N53)*1.5))*24</f>
        <v>0</v>
      </c>
    </row>
    <row r="54" spans="1:16" ht="16.5" thickBot="1" x14ac:dyDescent="0.3">
      <c r="A54" s="37" t="s">
        <v>19</v>
      </c>
      <c r="B54" s="78"/>
      <c r="C54" s="40"/>
      <c r="D54" s="57"/>
      <c r="E54" s="44"/>
      <c r="F54" s="47"/>
      <c r="G54" s="46"/>
      <c r="H54" s="47"/>
      <c r="I54" s="46"/>
      <c r="J54" s="42"/>
      <c r="K54" s="42"/>
      <c r="L54" s="45"/>
      <c r="M54" s="46"/>
      <c r="N54" s="47"/>
      <c r="O54" s="46"/>
      <c r="P54" s="21">
        <f t="shared" si="3"/>
        <v>0</v>
      </c>
    </row>
    <row r="55" spans="1:16" ht="16.5" thickBot="1" x14ac:dyDescent="0.3">
      <c r="A55" s="79" t="s">
        <v>25</v>
      </c>
      <c r="B55" s="45"/>
      <c r="C55" s="47"/>
      <c r="D55" s="57"/>
      <c r="E55" s="44"/>
      <c r="F55" s="84"/>
      <c r="G55" s="82"/>
      <c r="H55" s="43"/>
      <c r="I55" s="44"/>
      <c r="J55" s="42"/>
      <c r="K55" s="42"/>
      <c r="L55" s="53"/>
      <c r="M55" s="23"/>
      <c r="N55" s="22"/>
      <c r="O55" s="23"/>
      <c r="P55" s="21">
        <f t="shared" si="3"/>
        <v>0</v>
      </c>
    </row>
    <row r="56" spans="1:16" ht="16.5" thickBot="1" x14ac:dyDescent="0.3">
      <c r="A56" s="80" t="s">
        <v>26</v>
      </c>
      <c r="B56" s="45"/>
      <c r="C56" s="47"/>
      <c r="D56" s="81"/>
      <c r="E56" s="82"/>
      <c r="F56" s="42"/>
      <c r="G56" s="39"/>
      <c r="H56" s="84"/>
      <c r="I56" s="82"/>
      <c r="J56" s="42"/>
      <c r="K56" s="42"/>
      <c r="L56" s="53"/>
      <c r="M56" s="23"/>
      <c r="N56" s="22"/>
      <c r="O56" s="23"/>
      <c r="P56" s="21">
        <f t="shared" si="3"/>
        <v>0</v>
      </c>
    </row>
    <row r="57" spans="1:16" ht="16.5" thickBot="1" x14ac:dyDescent="0.3">
      <c r="A57" s="80" t="s">
        <v>27</v>
      </c>
      <c r="B57" s="81"/>
      <c r="C57" s="84"/>
      <c r="D57" s="81"/>
      <c r="E57" s="82"/>
      <c r="F57" s="83"/>
      <c r="G57" s="50"/>
      <c r="H57" s="84"/>
      <c r="I57" s="82"/>
      <c r="J57" s="22"/>
      <c r="K57" s="22"/>
      <c r="L57" s="53"/>
      <c r="M57" s="23"/>
      <c r="N57" s="22"/>
      <c r="O57" s="23"/>
      <c r="P57" s="21">
        <f t="shared" si="3"/>
        <v>0</v>
      </c>
    </row>
    <row r="58" spans="1:16" ht="16.5" thickBot="1" x14ac:dyDescent="0.3">
      <c r="A58" s="80" t="s">
        <v>28</v>
      </c>
      <c r="B58" s="81"/>
      <c r="C58" s="84"/>
      <c r="D58" s="38"/>
      <c r="E58" s="39"/>
      <c r="F58" s="85"/>
      <c r="G58" s="86"/>
      <c r="H58" s="58"/>
      <c r="I58" s="55"/>
      <c r="J58" s="53"/>
      <c r="K58" s="23"/>
      <c r="L58" s="53"/>
      <c r="M58" s="23"/>
      <c r="N58" s="22"/>
      <c r="O58" s="23"/>
      <c r="P58" s="21">
        <f t="shared" si="3"/>
        <v>0</v>
      </c>
    </row>
    <row r="59" spans="1:16" ht="16.5" thickBot="1" x14ac:dyDescent="0.3">
      <c r="A59" s="52" t="s">
        <v>29</v>
      </c>
      <c r="B59" s="54"/>
      <c r="C59" s="58"/>
      <c r="D59" s="57"/>
      <c r="E59" s="44"/>
      <c r="F59" s="43"/>
      <c r="G59" s="44"/>
      <c r="H59" s="43"/>
      <c r="I59" s="44"/>
      <c r="J59" s="22"/>
      <c r="K59" s="22"/>
      <c r="L59" s="53"/>
      <c r="M59" s="23"/>
      <c r="N59" s="22"/>
      <c r="O59" s="23"/>
      <c r="P59" s="21">
        <f t="shared" si="3"/>
        <v>0</v>
      </c>
    </row>
    <row r="60" spans="1:16" ht="16.5" thickBot="1" x14ac:dyDescent="0.3">
      <c r="A60" s="87" t="s">
        <v>30</v>
      </c>
      <c r="B60" s="53"/>
      <c r="C60" s="22"/>
      <c r="D60" s="57"/>
      <c r="E60" s="44"/>
      <c r="F60" s="43"/>
      <c r="G60" s="44"/>
      <c r="H60" s="43"/>
      <c r="I60" s="44"/>
      <c r="J60" s="58"/>
      <c r="K60" s="58"/>
      <c r="L60" s="53"/>
      <c r="M60" s="23"/>
      <c r="N60" s="22"/>
      <c r="O60" s="23"/>
      <c r="P60" s="21">
        <f t="shared" si="3"/>
        <v>0</v>
      </c>
    </row>
    <row r="61" spans="1:16" ht="16.5" thickBot="1" x14ac:dyDescent="0.3">
      <c r="A61" s="52" t="s">
        <v>31</v>
      </c>
      <c r="B61" s="54"/>
      <c r="C61" s="58"/>
      <c r="D61" s="54"/>
      <c r="E61" s="55"/>
      <c r="F61" s="58"/>
      <c r="G61" s="55"/>
      <c r="H61" s="58"/>
      <c r="I61" s="55"/>
      <c r="J61" s="58"/>
      <c r="K61" s="58"/>
      <c r="L61" s="53"/>
      <c r="M61" s="23"/>
      <c r="N61" s="22"/>
      <c r="O61" s="23"/>
      <c r="P61" s="21">
        <f t="shared" si="3"/>
        <v>0</v>
      </c>
    </row>
    <row r="62" spans="1:16" ht="16.5" thickBot="1" x14ac:dyDescent="0.3">
      <c r="A62" s="52" t="s">
        <v>32</v>
      </c>
      <c r="B62" s="54"/>
      <c r="C62" s="58"/>
      <c r="D62" s="54"/>
      <c r="E62" s="55"/>
      <c r="F62" s="58"/>
      <c r="G62" s="55"/>
      <c r="H62" s="58"/>
      <c r="I62" s="55"/>
      <c r="J62" s="58"/>
      <c r="K62" s="58"/>
      <c r="L62" s="53"/>
      <c r="M62" s="23"/>
      <c r="N62" s="22"/>
      <c r="O62" s="23"/>
      <c r="P62" s="21">
        <f t="shared" si="3"/>
        <v>0</v>
      </c>
    </row>
    <row r="63" spans="1:16" ht="16.5" thickBot="1" x14ac:dyDescent="0.3">
      <c r="A63" s="52" t="s">
        <v>33</v>
      </c>
      <c r="B63" s="54"/>
      <c r="C63" s="58"/>
      <c r="D63" s="54"/>
      <c r="E63" s="55"/>
      <c r="F63" s="58"/>
      <c r="G63" s="55"/>
      <c r="H63" s="58"/>
      <c r="I63" s="55"/>
      <c r="J63" s="58"/>
      <c r="K63" s="58"/>
      <c r="L63" s="53"/>
      <c r="M63" s="23"/>
      <c r="N63" s="22"/>
      <c r="O63" s="23"/>
      <c r="P63" s="21">
        <f t="shared" si="3"/>
        <v>0</v>
      </c>
    </row>
    <row r="64" spans="1:16" ht="16.5" thickBot="1" x14ac:dyDescent="0.3">
      <c r="A64" s="87" t="s">
        <v>34</v>
      </c>
      <c r="B64" s="54"/>
      <c r="C64" s="58"/>
      <c r="D64" s="54"/>
      <c r="E64" s="55"/>
      <c r="F64" s="58"/>
      <c r="G64" s="55"/>
      <c r="H64" s="58"/>
      <c r="I64" s="55"/>
      <c r="J64" s="58"/>
      <c r="K64" s="58"/>
      <c r="L64" s="53"/>
      <c r="M64" s="23"/>
      <c r="N64" s="22"/>
      <c r="O64" s="23"/>
      <c r="P64" s="21">
        <f t="shared" si="3"/>
        <v>0</v>
      </c>
    </row>
    <row r="65" spans="1:16" ht="16.5" thickBot="1" x14ac:dyDescent="0.3">
      <c r="A65" s="52" t="s">
        <v>35</v>
      </c>
      <c r="B65" s="72"/>
      <c r="C65" s="71"/>
      <c r="D65" s="54"/>
      <c r="E65" s="55"/>
      <c r="F65" s="58"/>
      <c r="G65" s="55"/>
      <c r="H65" s="58"/>
      <c r="I65" s="55"/>
      <c r="J65" s="58"/>
      <c r="K65" s="58"/>
      <c r="L65" s="53"/>
      <c r="M65" s="23"/>
      <c r="N65" s="22"/>
      <c r="O65" s="23"/>
      <c r="P65" s="21">
        <f t="shared" si="3"/>
        <v>0</v>
      </c>
    </row>
    <row r="66" spans="1:16" ht="16.5" thickBot="1" x14ac:dyDescent="0.3">
      <c r="A66" s="87" t="s">
        <v>36</v>
      </c>
      <c r="B66" s="54"/>
      <c r="C66" s="58"/>
      <c r="D66" s="72"/>
      <c r="E66" s="73"/>
      <c r="F66" s="58"/>
      <c r="G66" s="55"/>
      <c r="H66" s="71"/>
      <c r="I66" s="73"/>
      <c r="J66" s="58"/>
      <c r="K66" s="58"/>
      <c r="L66" s="54"/>
      <c r="M66" s="55"/>
      <c r="N66" s="58"/>
      <c r="O66" s="55"/>
      <c r="P66" s="21">
        <f t="shared" si="3"/>
        <v>0</v>
      </c>
    </row>
    <row r="67" spans="1:16" ht="16.5" thickBot="1" x14ac:dyDescent="0.3">
      <c r="A67" s="87" t="s">
        <v>42</v>
      </c>
      <c r="B67" s="54"/>
      <c r="C67" s="58"/>
      <c r="D67" s="54"/>
      <c r="E67" s="55"/>
      <c r="F67" s="62"/>
      <c r="G67" s="63"/>
      <c r="H67" s="58"/>
      <c r="I67" s="55"/>
      <c r="J67" s="43"/>
      <c r="K67" s="43"/>
      <c r="L67" s="53"/>
      <c r="M67" s="23"/>
      <c r="N67" s="22"/>
      <c r="O67" s="23"/>
      <c r="P67" s="21">
        <f t="shared" si="3"/>
        <v>0</v>
      </c>
    </row>
    <row r="68" spans="1:16" ht="16.5" thickBot="1" x14ac:dyDescent="0.3">
      <c r="A68" s="88" t="s">
        <v>43</v>
      </c>
      <c r="B68" s="62"/>
      <c r="C68" s="63"/>
      <c r="D68" s="58"/>
      <c r="E68" s="55"/>
      <c r="F68" s="58"/>
      <c r="G68" s="55"/>
      <c r="H68" s="58"/>
      <c r="I68" s="55"/>
      <c r="J68" s="58"/>
      <c r="K68" s="58"/>
      <c r="L68" s="53"/>
      <c r="M68" s="23"/>
      <c r="N68" s="22"/>
      <c r="O68" s="23"/>
      <c r="P68" s="21">
        <f t="shared" si="3"/>
        <v>0</v>
      </c>
    </row>
    <row r="69" spans="1:16" ht="16.5" thickBot="1" x14ac:dyDescent="0.3">
      <c r="A69" s="89" t="s">
        <v>38</v>
      </c>
      <c r="B69" s="62"/>
      <c r="C69" s="64"/>
      <c r="D69" s="62"/>
      <c r="E69" s="63"/>
      <c r="F69" s="58"/>
      <c r="G69" s="55"/>
      <c r="H69" s="64"/>
      <c r="I69" s="63"/>
      <c r="J69" s="58"/>
      <c r="K69" s="58"/>
      <c r="L69" s="53"/>
      <c r="M69" s="23"/>
      <c r="N69" s="53"/>
      <c r="O69" s="23"/>
      <c r="P69" s="90">
        <f t="shared" si="3"/>
        <v>0</v>
      </c>
    </row>
    <row r="70" spans="1:16" ht="16.5" thickBot="1" x14ac:dyDescent="0.3"/>
    <row r="71" spans="1:16" ht="16.5" thickBot="1" x14ac:dyDescent="0.3">
      <c r="A71" s="1" t="s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16" ht="16.5" thickBot="1" x14ac:dyDescent="0.3">
      <c r="A72" s="4"/>
      <c r="B72" s="151">
        <f>N36+1</f>
        <v>8</v>
      </c>
      <c r="C72" s="152"/>
      <c r="D72" s="153">
        <f>B72+1</f>
        <v>9</v>
      </c>
      <c r="E72" s="154"/>
      <c r="F72" s="151">
        <f>D72+1</f>
        <v>10</v>
      </c>
      <c r="G72" s="152"/>
      <c r="H72" s="155">
        <f>F72+1</f>
        <v>11</v>
      </c>
      <c r="I72" s="156"/>
      <c r="J72" s="151">
        <f>H72+1</f>
        <v>12</v>
      </c>
      <c r="K72" s="156"/>
      <c r="L72" s="155">
        <f>J72+1</f>
        <v>13</v>
      </c>
      <c r="M72" s="156"/>
      <c r="N72" s="155">
        <f>L72+1</f>
        <v>14</v>
      </c>
      <c r="O72" s="156"/>
      <c r="P72" s="5"/>
    </row>
    <row r="73" spans="1:16" ht="16.5" thickBot="1" x14ac:dyDescent="0.3">
      <c r="A73" s="6"/>
      <c r="B73" s="7"/>
      <c r="C73" s="8"/>
      <c r="D73" s="7"/>
      <c r="E73" s="8"/>
      <c r="F73" s="7"/>
      <c r="G73" s="8"/>
      <c r="H73" s="7"/>
      <c r="I73" s="8"/>
      <c r="J73" s="9"/>
      <c r="K73" s="9"/>
      <c r="L73" s="10"/>
      <c r="M73" s="10"/>
      <c r="N73" s="10"/>
      <c r="O73" s="11"/>
      <c r="P73" s="5"/>
    </row>
    <row r="74" spans="1:16" ht="16.5" thickBot="1" x14ac:dyDescent="0.3">
      <c r="A74" s="12"/>
      <c r="B74" s="144"/>
      <c r="C74" s="145"/>
      <c r="D74" s="13" t="s">
        <v>1</v>
      </c>
      <c r="E74" s="14" t="s">
        <v>2</v>
      </c>
      <c r="F74" s="7"/>
      <c r="G74" s="8"/>
      <c r="H74" s="13" t="s">
        <v>1</v>
      </c>
      <c r="I74" s="14"/>
      <c r="J74" s="7"/>
      <c r="K74" s="8"/>
      <c r="L74" s="13" t="s">
        <v>1</v>
      </c>
      <c r="M74" s="14"/>
      <c r="N74" s="13" t="s">
        <v>1</v>
      </c>
      <c r="O74" s="14"/>
      <c r="P74" s="5"/>
    </row>
    <row r="75" spans="1:16" ht="16.5" thickBot="1" x14ac:dyDescent="0.3">
      <c r="A75" s="12"/>
      <c r="B75" s="148" t="s">
        <v>4</v>
      </c>
      <c r="C75" s="132"/>
      <c r="D75" s="131" t="s">
        <v>5</v>
      </c>
      <c r="E75" s="132"/>
      <c r="F75" s="131" t="s">
        <v>6</v>
      </c>
      <c r="G75" s="132"/>
      <c r="H75" s="131" t="s">
        <v>7</v>
      </c>
      <c r="I75" s="132"/>
      <c r="J75" s="131" t="s">
        <v>8</v>
      </c>
      <c r="K75" s="132"/>
      <c r="L75" s="131" t="s">
        <v>9</v>
      </c>
      <c r="M75" s="132"/>
      <c r="N75" s="131" t="s">
        <v>10</v>
      </c>
      <c r="O75" s="132"/>
      <c r="P75" s="5"/>
    </row>
    <row r="76" spans="1:16" ht="16.5" thickBot="1" x14ac:dyDescent="0.3">
      <c r="A76" s="15" t="s">
        <v>11</v>
      </c>
      <c r="B76" s="133"/>
      <c r="C76" s="134"/>
      <c r="D76" s="135"/>
      <c r="E76" s="136"/>
      <c r="F76" s="135"/>
      <c r="G76" s="136"/>
      <c r="H76" s="137"/>
      <c r="I76" s="138"/>
      <c r="J76" s="120"/>
      <c r="K76" s="138"/>
      <c r="L76" s="136"/>
      <c r="M76" s="136"/>
      <c r="N76" s="136"/>
      <c r="O76" s="139"/>
      <c r="P76" s="16" t="s">
        <v>15</v>
      </c>
    </row>
    <row r="77" spans="1:16" ht="16.5" thickBot="1" x14ac:dyDescent="0.3">
      <c r="A77" s="17" t="s">
        <v>16</v>
      </c>
      <c r="B77" s="140"/>
      <c r="C77" s="141"/>
      <c r="D77" s="142"/>
      <c r="E77" s="143"/>
      <c r="F77" s="119"/>
      <c r="G77" s="120"/>
      <c r="H77" s="121"/>
      <c r="I77" s="122"/>
      <c r="J77" s="126"/>
      <c r="K77" s="157"/>
      <c r="L77" s="143"/>
      <c r="M77" s="143"/>
      <c r="N77" s="143"/>
      <c r="O77" s="149"/>
      <c r="P77" s="18"/>
    </row>
    <row r="78" spans="1:16" ht="16.5" thickBot="1" x14ac:dyDescent="0.3">
      <c r="A78" s="121" t="s">
        <v>20</v>
      </c>
      <c r="B78" s="125"/>
      <c r="C78" s="125"/>
      <c r="D78" s="125"/>
      <c r="E78" s="125"/>
      <c r="F78" s="125"/>
      <c r="G78" s="125"/>
      <c r="H78" s="126"/>
      <c r="I78" s="126"/>
      <c r="J78" s="126"/>
      <c r="K78" s="126"/>
      <c r="L78" s="125"/>
      <c r="M78" s="125"/>
      <c r="N78" s="125"/>
      <c r="O78" s="122"/>
      <c r="P78" s="19" t="s">
        <v>21</v>
      </c>
    </row>
    <row r="79" spans="1:16" ht="16.5" thickBot="1" x14ac:dyDescent="0.3">
      <c r="A79" s="20" t="s">
        <v>13</v>
      </c>
      <c r="B79" s="103"/>
      <c r="C79" s="104"/>
      <c r="D79" s="103"/>
      <c r="E79" s="104"/>
      <c r="F79" s="103"/>
      <c r="G79" s="104"/>
      <c r="H79" s="103"/>
      <c r="I79" s="104"/>
      <c r="J79" s="103"/>
      <c r="K79" s="104"/>
      <c r="L79" s="22"/>
      <c r="M79" s="23"/>
      <c r="N79" s="22"/>
      <c r="O79" s="23"/>
      <c r="P79" s="21">
        <f>(((((C79-B79))))+(E79-D79)+(G79-F79)+(I79-H79)+((K79-J79))+(M79-L79))*24</f>
        <v>0</v>
      </c>
    </row>
    <row r="80" spans="1:16" ht="16.5" thickBot="1" x14ac:dyDescent="0.3">
      <c r="A80" s="20" t="s">
        <v>12</v>
      </c>
      <c r="B80" s="103"/>
      <c r="C80" s="104"/>
      <c r="D80" s="103"/>
      <c r="E80" s="104"/>
      <c r="F80" s="103"/>
      <c r="G80" s="104"/>
      <c r="H80" s="103"/>
      <c r="I80" s="74"/>
      <c r="J80" s="103"/>
      <c r="K80" s="104"/>
      <c r="L80" s="91"/>
      <c r="M80" s="92"/>
      <c r="N80" s="91"/>
      <c r="O80" s="92"/>
      <c r="P80" s="21">
        <f t="shared" ref="P80:P84" si="4">(((((C80-B80))))+(E80-D80)+(G80-F80)+(I80-H80)+((K80-J80))+(M80-L80))*24</f>
        <v>0</v>
      </c>
    </row>
    <row r="81" spans="1:16" ht="16.5" thickBot="1" x14ac:dyDescent="0.3">
      <c r="A81" s="20" t="s">
        <v>22</v>
      </c>
      <c r="B81" s="103"/>
      <c r="C81" s="104"/>
      <c r="D81" s="103"/>
      <c r="E81" s="104"/>
      <c r="F81" s="103"/>
      <c r="G81" s="104"/>
      <c r="H81" s="103"/>
      <c r="I81" s="74"/>
      <c r="J81" s="103"/>
      <c r="K81" s="104"/>
      <c r="L81" s="22"/>
      <c r="M81" s="23"/>
      <c r="N81" s="22"/>
      <c r="O81" s="23"/>
      <c r="P81" s="21">
        <f t="shared" si="4"/>
        <v>0</v>
      </c>
    </row>
    <row r="82" spans="1:16" ht="16.5" thickBot="1" x14ac:dyDescent="0.3">
      <c r="A82" s="26" t="s">
        <v>14</v>
      </c>
      <c r="B82" s="103"/>
      <c r="C82" s="74"/>
      <c r="D82" s="103"/>
      <c r="E82" s="74"/>
      <c r="F82" s="103"/>
      <c r="G82" s="74"/>
      <c r="H82" s="177"/>
      <c r="I82" s="178"/>
      <c r="J82" s="103"/>
      <c r="K82" s="104"/>
      <c r="L82" s="22"/>
      <c r="M82" s="23"/>
      <c r="N82" s="22"/>
      <c r="O82" s="23"/>
      <c r="P82" s="21">
        <f t="shared" si="4"/>
        <v>0</v>
      </c>
    </row>
    <row r="83" spans="1:16" ht="16.5" thickBot="1" x14ac:dyDescent="0.3">
      <c r="A83" s="26" t="s">
        <v>23</v>
      </c>
      <c r="B83" s="103"/>
      <c r="C83" s="74"/>
      <c r="D83" s="103"/>
      <c r="E83" s="74"/>
      <c r="F83" s="103"/>
      <c r="G83" s="74"/>
      <c r="H83" s="103"/>
      <c r="I83" s="74"/>
      <c r="J83" s="103"/>
      <c r="K83" s="104"/>
      <c r="L83" s="22"/>
      <c r="M83" s="23"/>
      <c r="N83" s="22"/>
      <c r="O83" s="23"/>
      <c r="P83" s="21">
        <f t="shared" si="4"/>
        <v>0</v>
      </c>
    </row>
    <row r="84" spans="1:16" ht="16.5" thickBot="1" x14ac:dyDescent="0.3">
      <c r="A84" s="93" t="s">
        <v>37</v>
      </c>
      <c r="B84" s="117"/>
      <c r="C84" s="85"/>
      <c r="D84" s="179"/>
      <c r="E84" s="180"/>
      <c r="F84" s="117"/>
      <c r="G84" s="85"/>
      <c r="H84" s="117"/>
      <c r="I84" s="85"/>
      <c r="J84" s="117"/>
      <c r="K84" s="86"/>
      <c r="L84" s="28"/>
      <c r="M84" s="29"/>
      <c r="N84" s="28"/>
      <c r="O84" s="29"/>
      <c r="P84" s="21">
        <f t="shared" si="4"/>
        <v>0</v>
      </c>
    </row>
    <row r="85" spans="1:16" ht="16.5" thickBot="1" x14ac:dyDescent="0.3">
      <c r="A85" s="150" t="s">
        <v>24</v>
      </c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58"/>
      <c r="P85" s="30"/>
    </row>
    <row r="86" spans="1:16" ht="16.5" thickBot="1" x14ac:dyDescent="0.3">
      <c r="A86" s="94" t="s">
        <v>40</v>
      </c>
      <c r="B86" s="95"/>
      <c r="C86" s="96"/>
      <c r="D86" s="95"/>
      <c r="E86" s="118"/>
      <c r="F86" s="97"/>
      <c r="G86" s="98"/>
      <c r="H86" s="95"/>
      <c r="I86" s="96"/>
      <c r="J86" s="95"/>
      <c r="K86" s="118"/>
      <c r="L86" s="96"/>
      <c r="M86" s="118"/>
      <c r="N86" s="96"/>
      <c r="O86" s="118"/>
      <c r="P86" s="99"/>
    </row>
    <row r="87" spans="1:16" ht="16.5" thickBot="1" x14ac:dyDescent="0.3">
      <c r="A87" s="100" t="s">
        <v>41</v>
      </c>
      <c r="B87" s="95"/>
      <c r="C87" s="118"/>
      <c r="D87" s="54"/>
      <c r="E87" s="55"/>
      <c r="F87" s="95"/>
      <c r="G87" s="118"/>
      <c r="H87" s="54"/>
      <c r="I87" s="58"/>
      <c r="J87" s="53"/>
      <c r="K87" s="23"/>
      <c r="L87" s="58"/>
      <c r="M87" s="55"/>
      <c r="N87" s="58"/>
      <c r="O87" s="55"/>
      <c r="P87" s="30"/>
    </row>
    <row r="88" spans="1:16" ht="16.5" thickBot="1" x14ac:dyDescent="0.3">
      <c r="A88" s="37" t="s">
        <v>2</v>
      </c>
      <c r="B88" s="38"/>
      <c r="C88" s="42"/>
      <c r="D88" s="57"/>
      <c r="E88" s="44"/>
      <c r="F88" s="42"/>
      <c r="G88" s="39"/>
      <c r="H88" s="40"/>
      <c r="I88" s="40"/>
      <c r="J88" s="38"/>
      <c r="K88" s="39"/>
      <c r="L88" s="58"/>
      <c r="M88" s="55"/>
      <c r="N88" s="58"/>
      <c r="O88" s="55"/>
      <c r="P88" s="21">
        <f t="shared" ref="P88:P107" si="5">(((((C88-B88))))+(E88-D88)+(G88-F88)+(I88-H88)+((K88-J88))+(M88-L88)+((O88-N88)*1.5))*24</f>
        <v>0</v>
      </c>
    </row>
    <row r="89" spans="1:16" ht="16.5" thickBot="1" x14ac:dyDescent="0.3">
      <c r="A89" s="37" t="s">
        <v>17</v>
      </c>
      <c r="B89" s="45"/>
      <c r="C89" s="47"/>
      <c r="D89" s="57"/>
      <c r="E89" s="44"/>
      <c r="F89" s="84"/>
      <c r="G89" s="82"/>
      <c r="H89" s="43"/>
      <c r="I89" s="43"/>
      <c r="J89" s="38"/>
      <c r="K89" s="39"/>
      <c r="L89" s="47"/>
      <c r="M89" s="46"/>
      <c r="N89" s="47"/>
      <c r="O89" s="46"/>
      <c r="P89" s="21">
        <f t="shared" si="5"/>
        <v>0</v>
      </c>
    </row>
    <row r="90" spans="1:16" ht="16.5" thickBot="1" x14ac:dyDescent="0.3">
      <c r="A90" s="101" t="s">
        <v>19</v>
      </c>
      <c r="B90" s="45"/>
      <c r="C90" s="47"/>
      <c r="D90" s="53"/>
      <c r="E90" s="23"/>
      <c r="F90" s="42"/>
      <c r="G90" s="39"/>
      <c r="H90" s="84"/>
      <c r="I90" s="84"/>
      <c r="J90" s="38"/>
      <c r="K90" s="39"/>
      <c r="L90" s="47"/>
      <c r="M90" s="46"/>
      <c r="N90" s="47"/>
      <c r="O90" s="46"/>
      <c r="P90" s="21">
        <f t="shared" si="5"/>
        <v>0</v>
      </c>
    </row>
    <row r="91" spans="1:16" ht="16.5" thickBot="1" x14ac:dyDescent="0.3">
      <c r="A91" s="79" t="s">
        <v>25</v>
      </c>
      <c r="B91" s="38"/>
      <c r="C91" s="42"/>
      <c r="D91" s="53"/>
      <c r="E91" s="23"/>
      <c r="F91" s="84"/>
      <c r="G91" s="82"/>
      <c r="H91" s="43"/>
      <c r="I91" s="43"/>
      <c r="J91" s="53"/>
      <c r="K91" s="23"/>
      <c r="L91" s="24"/>
      <c r="M91" s="25"/>
      <c r="N91" s="24"/>
      <c r="O91" s="25"/>
      <c r="P91" s="21">
        <f t="shared" si="5"/>
        <v>0</v>
      </c>
    </row>
    <row r="92" spans="1:16" ht="16.5" thickBot="1" x14ac:dyDescent="0.3">
      <c r="A92" s="102" t="s">
        <v>26</v>
      </c>
      <c r="B92" s="81"/>
      <c r="C92" s="84"/>
      <c r="D92" s="81"/>
      <c r="E92" s="82"/>
      <c r="F92" s="83"/>
      <c r="G92" s="50"/>
      <c r="H92" s="181"/>
      <c r="I92" s="181"/>
      <c r="J92" s="53"/>
      <c r="K92" s="23"/>
      <c r="L92" s="22"/>
      <c r="M92" s="23"/>
      <c r="N92" s="22"/>
      <c r="O92" s="23"/>
      <c r="P92" s="21">
        <f t="shared" si="5"/>
        <v>0</v>
      </c>
    </row>
    <row r="93" spans="1:16" ht="16.5" thickBot="1" x14ac:dyDescent="0.3">
      <c r="A93" s="80" t="s">
        <v>27</v>
      </c>
      <c r="B93" s="81"/>
      <c r="C93" s="84"/>
      <c r="D93" s="38"/>
      <c r="E93" s="39"/>
      <c r="F93" s="22"/>
      <c r="G93" s="23"/>
      <c r="H93" s="53"/>
      <c r="I93" s="22"/>
      <c r="J93" s="53"/>
      <c r="K93" s="23"/>
      <c r="L93" s="22"/>
      <c r="M93" s="23"/>
      <c r="N93" s="22"/>
      <c r="O93" s="23"/>
      <c r="P93" s="21">
        <f t="shared" si="5"/>
        <v>0</v>
      </c>
    </row>
    <row r="94" spans="1:16" ht="16.5" thickBot="1" x14ac:dyDescent="0.3">
      <c r="A94" s="80" t="s">
        <v>28</v>
      </c>
      <c r="B94" s="81"/>
      <c r="C94" s="84"/>
      <c r="D94" s="103"/>
      <c r="E94" s="104"/>
      <c r="F94" s="74"/>
      <c r="G94" s="104"/>
      <c r="H94" s="42"/>
      <c r="I94" s="42"/>
      <c r="J94" s="53"/>
      <c r="K94" s="23"/>
      <c r="L94" s="22"/>
      <c r="M94" s="23"/>
      <c r="N94" s="22"/>
      <c r="O94" s="23"/>
      <c r="P94" s="21">
        <f t="shared" si="5"/>
        <v>0</v>
      </c>
    </row>
    <row r="95" spans="1:16" ht="16.5" thickBot="1" x14ac:dyDescent="0.3">
      <c r="A95" s="102" t="s">
        <v>29</v>
      </c>
      <c r="B95" s="38"/>
      <c r="C95" s="42"/>
      <c r="D95" s="54"/>
      <c r="E95" s="55"/>
      <c r="F95" s="58"/>
      <c r="G95" s="55"/>
      <c r="H95" s="54"/>
      <c r="I95" s="58"/>
      <c r="J95" s="53"/>
      <c r="K95" s="23"/>
      <c r="L95" s="22"/>
      <c r="M95" s="23"/>
      <c r="N95" s="22"/>
      <c r="O95" s="23"/>
      <c r="P95" s="21">
        <f t="shared" si="5"/>
        <v>0</v>
      </c>
    </row>
    <row r="96" spans="1:16" ht="16.5" thickBot="1" x14ac:dyDescent="0.3">
      <c r="A96" s="87" t="s">
        <v>30</v>
      </c>
      <c r="B96" s="54"/>
      <c r="C96" s="58"/>
      <c r="D96" s="54"/>
      <c r="E96" s="55"/>
      <c r="F96" s="22"/>
      <c r="G96" s="23"/>
      <c r="H96" s="58"/>
      <c r="I96" s="58"/>
      <c r="J96" s="54"/>
      <c r="K96" s="55"/>
      <c r="L96" s="22"/>
      <c r="M96" s="23"/>
      <c r="N96" s="22"/>
      <c r="O96" s="23"/>
      <c r="P96" s="21">
        <f t="shared" si="5"/>
        <v>0</v>
      </c>
    </row>
    <row r="97" spans="1:16" ht="16.5" thickBot="1" x14ac:dyDescent="0.3">
      <c r="A97" s="52" t="s">
        <v>31</v>
      </c>
      <c r="B97" s="54"/>
      <c r="C97" s="58"/>
      <c r="D97" s="54"/>
      <c r="E97" s="55"/>
      <c r="F97" s="58"/>
      <c r="G97" s="55"/>
      <c r="H97" s="58"/>
      <c r="I97" s="58"/>
      <c r="J97" s="54"/>
      <c r="K97" s="55"/>
      <c r="L97" s="22"/>
      <c r="M97" s="23"/>
      <c r="N97" s="22"/>
      <c r="O97" s="23"/>
      <c r="P97" s="21">
        <f t="shared" si="5"/>
        <v>0</v>
      </c>
    </row>
    <row r="98" spans="1:16" ht="16.5" thickBot="1" x14ac:dyDescent="0.3">
      <c r="A98" s="52" t="s">
        <v>32</v>
      </c>
      <c r="B98" s="54"/>
      <c r="C98" s="58"/>
      <c r="D98" s="54"/>
      <c r="E98" s="55"/>
      <c r="F98" s="58"/>
      <c r="G98" s="55"/>
      <c r="H98" s="58"/>
      <c r="I98" s="58"/>
      <c r="J98" s="54"/>
      <c r="K98" s="55"/>
      <c r="L98" s="22"/>
      <c r="M98" s="23"/>
      <c r="N98" s="22"/>
      <c r="O98" s="23"/>
      <c r="P98" s="21">
        <f t="shared" si="5"/>
        <v>0</v>
      </c>
    </row>
    <row r="99" spans="1:16" ht="16.5" thickBot="1" x14ac:dyDescent="0.3">
      <c r="A99" s="52" t="s">
        <v>33</v>
      </c>
      <c r="B99" s="54"/>
      <c r="C99" s="58"/>
      <c r="D99" s="54"/>
      <c r="E99" s="55"/>
      <c r="F99" s="58"/>
      <c r="G99" s="55"/>
      <c r="H99" s="58"/>
      <c r="I99" s="58"/>
      <c r="J99" s="54"/>
      <c r="K99" s="55"/>
      <c r="L99" s="22"/>
      <c r="M99" s="23"/>
      <c r="N99" s="22"/>
      <c r="O99" s="23"/>
      <c r="P99" s="21">
        <f t="shared" si="5"/>
        <v>0</v>
      </c>
    </row>
    <row r="100" spans="1:16" ht="16.5" thickBot="1" x14ac:dyDescent="0.3">
      <c r="A100" s="87" t="s">
        <v>34</v>
      </c>
      <c r="B100" s="72"/>
      <c r="C100" s="71"/>
      <c r="D100" s="54"/>
      <c r="E100" s="55"/>
      <c r="F100" s="58"/>
      <c r="G100" s="55"/>
      <c r="H100" s="58"/>
      <c r="I100" s="58"/>
      <c r="J100" s="54"/>
      <c r="K100" s="55"/>
      <c r="L100" s="22"/>
      <c r="M100" s="23"/>
      <c r="N100" s="22"/>
      <c r="O100" s="23"/>
      <c r="P100" s="21">
        <f t="shared" si="5"/>
        <v>0</v>
      </c>
    </row>
    <row r="101" spans="1:16" ht="16.5" thickBot="1" x14ac:dyDescent="0.3">
      <c r="A101" s="52" t="s">
        <v>35</v>
      </c>
      <c r="B101" s="72"/>
      <c r="C101" s="71"/>
      <c r="D101" s="57"/>
      <c r="E101" s="44"/>
      <c r="F101" s="58"/>
      <c r="G101" s="55"/>
      <c r="H101" s="58"/>
      <c r="I101" s="58"/>
      <c r="J101" s="54"/>
      <c r="K101" s="55"/>
      <c r="L101" s="58"/>
      <c r="M101" s="55"/>
      <c r="N101" s="58"/>
      <c r="O101" s="55"/>
      <c r="P101" s="21">
        <f t="shared" si="5"/>
        <v>0</v>
      </c>
    </row>
    <row r="102" spans="1:16" ht="16.5" thickBot="1" x14ac:dyDescent="0.3">
      <c r="A102" s="87" t="s">
        <v>36</v>
      </c>
      <c r="B102" s="54"/>
      <c r="C102" s="58"/>
      <c r="D102" s="72"/>
      <c r="E102" s="73"/>
      <c r="F102" s="58"/>
      <c r="G102" s="55"/>
      <c r="H102" s="58"/>
      <c r="I102" s="58"/>
      <c r="J102" s="54"/>
      <c r="K102" s="55"/>
      <c r="L102" s="22"/>
      <c r="M102" s="23"/>
      <c r="N102" s="22"/>
      <c r="O102" s="23"/>
      <c r="P102" s="21">
        <f t="shared" si="5"/>
        <v>0</v>
      </c>
    </row>
    <row r="103" spans="1:16" ht="16.5" thickBot="1" x14ac:dyDescent="0.3">
      <c r="A103" s="87" t="s">
        <v>44</v>
      </c>
      <c r="B103" s="54"/>
      <c r="C103" s="58"/>
      <c r="D103" s="54"/>
      <c r="E103" s="55"/>
      <c r="F103" s="58"/>
      <c r="G103" s="55"/>
      <c r="H103" s="58"/>
      <c r="I103" s="55"/>
      <c r="J103" s="54"/>
      <c r="K103" s="55"/>
      <c r="L103" s="58"/>
      <c r="M103" s="55"/>
      <c r="N103" s="58"/>
      <c r="O103" s="55"/>
      <c r="P103" s="21">
        <f t="shared" si="5"/>
        <v>0</v>
      </c>
    </row>
    <row r="104" spans="1:16" ht="16.5" thickBot="1" x14ac:dyDescent="0.3">
      <c r="A104" s="87" t="s">
        <v>45</v>
      </c>
      <c r="B104" s="54"/>
      <c r="C104" s="58"/>
      <c r="D104" s="54"/>
      <c r="E104" s="55"/>
      <c r="F104" s="58"/>
      <c r="G104" s="55"/>
      <c r="H104" s="58"/>
      <c r="I104" s="58"/>
      <c r="J104" s="54"/>
      <c r="K104" s="55"/>
      <c r="L104" s="58"/>
      <c r="M104" s="55"/>
      <c r="N104" s="58"/>
      <c r="O104" s="55"/>
      <c r="P104" s="21">
        <f t="shared" si="5"/>
        <v>0</v>
      </c>
    </row>
    <row r="105" spans="1:16" ht="16.5" thickBot="1" x14ac:dyDescent="0.3">
      <c r="A105" s="87" t="s">
        <v>42</v>
      </c>
      <c r="B105" s="54"/>
      <c r="C105" s="58"/>
      <c r="D105" s="54"/>
      <c r="E105" s="55"/>
      <c r="F105" s="58"/>
      <c r="G105" s="55"/>
      <c r="H105" s="58"/>
      <c r="I105" s="58"/>
      <c r="J105" s="105"/>
      <c r="K105" s="29"/>
      <c r="L105" s="22"/>
      <c r="M105" s="23"/>
      <c r="N105" s="22"/>
      <c r="O105" s="23"/>
      <c r="P105" s="21">
        <f t="shared" si="5"/>
        <v>0</v>
      </c>
    </row>
    <row r="106" spans="1:16" x14ac:dyDescent="0.25">
      <c r="A106" s="87" t="s">
        <v>43</v>
      </c>
      <c r="B106" s="54"/>
      <c r="C106" s="58"/>
      <c r="D106" s="54"/>
      <c r="E106" s="55"/>
      <c r="F106" s="58"/>
      <c r="G106" s="55"/>
      <c r="H106" s="58"/>
      <c r="I106" s="58"/>
      <c r="J106" s="57"/>
      <c r="K106" s="44"/>
      <c r="L106" s="58"/>
      <c r="M106" s="55"/>
      <c r="N106" s="58"/>
      <c r="O106" s="55"/>
      <c r="P106" s="21">
        <f t="shared" si="5"/>
        <v>0</v>
      </c>
    </row>
    <row r="107" spans="1:16" ht="16.5" thickBot="1" x14ac:dyDescent="0.3">
      <c r="A107" s="89" t="s">
        <v>38</v>
      </c>
      <c r="B107" s="62"/>
      <c r="C107" s="64"/>
      <c r="D107" s="62"/>
      <c r="E107" s="63"/>
      <c r="F107" s="64"/>
      <c r="G107" s="63"/>
      <c r="H107" s="64"/>
      <c r="I107" s="64"/>
      <c r="J107" s="62"/>
      <c r="K107" s="63"/>
      <c r="L107" s="64"/>
      <c r="M107" s="63"/>
      <c r="N107" s="64"/>
      <c r="O107" s="63"/>
      <c r="P107" s="65">
        <f t="shared" si="5"/>
        <v>0</v>
      </c>
    </row>
    <row r="108" spans="1:16" ht="16.5" thickBot="1" x14ac:dyDescent="0.3"/>
    <row r="109" spans="1:16" ht="16.5" thickBot="1" x14ac:dyDescent="0.3">
      <c r="A109" s="1" t="s">
        <v>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06"/>
      <c r="P109" s="3"/>
    </row>
    <row r="110" spans="1:16" ht="16.5" thickBot="1" x14ac:dyDescent="0.3">
      <c r="A110" s="4"/>
      <c r="B110" s="155">
        <f>N72+1</f>
        <v>15</v>
      </c>
      <c r="C110" s="156"/>
      <c r="D110" s="159">
        <f>B110+1</f>
        <v>16</v>
      </c>
      <c r="E110" s="160"/>
      <c r="F110" s="155">
        <f>D110+1</f>
        <v>17</v>
      </c>
      <c r="G110" s="156"/>
      <c r="H110" s="159">
        <f>F110+1</f>
        <v>18</v>
      </c>
      <c r="I110" s="156"/>
      <c r="J110" s="159">
        <f>H110+1</f>
        <v>19</v>
      </c>
      <c r="K110" s="160"/>
      <c r="L110" s="155">
        <f>J110+1</f>
        <v>20</v>
      </c>
      <c r="M110" s="156"/>
      <c r="N110" s="159">
        <f>L110+1</f>
        <v>21</v>
      </c>
      <c r="O110" s="156"/>
      <c r="P110" s="5"/>
    </row>
    <row r="111" spans="1:16" ht="16.5" thickBot="1" x14ac:dyDescent="0.3">
      <c r="A111" s="6"/>
      <c r="B111" s="170"/>
      <c r="C111" s="171"/>
      <c r="D111" s="170"/>
      <c r="E111" s="171"/>
      <c r="F111" s="170"/>
      <c r="G111" s="171"/>
      <c r="H111" s="170"/>
      <c r="I111" s="171"/>
      <c r="J111" s="9"/>
      <c r="K111" s="9"/>
      <c r="L111" s="10"/>
      <c r="M111" s="10"/>
      <c r="N111" s="10"/>
      <c r="O111" s="11"/>
      <c r="P111" s="5"/>
    </row>
    <row r="112" spans="1:16" ht="16.5" thickBot="1" x14ac:dyDescent="0.3">
      <c r="A112" s="12"/>
      <c r="B112" s="144"/>
      <c r="C112" s="145"/>
      <c r="D112" s="13" t="s">
        <v>1</v>
      </c>
      <c r="E112" s="14"/>
      <c r="F112" s="170"/>
      <c r="G112" s="171"/>
      <c r="H112" s="13" t="s">
        <v>1</v>
      </c>
      <c r="I112" s="14"/>
      <c r="J112" s="170"/>
      <c r="K112" s="171"/>
      <c r="L112" s="13" t="s">
        <v>1</v>
      </c>
      <c r="M112" s="14"/>
      <c r="N112" s="13" t="s">
        <v>1</v>
      </c>
      <c r="O112" s="14"/>
      <c r="P112" s="5"/>
    </row>
    <row r="113" spans="1:16" ht="16.5" thickBot="1" x14ac:dyDescent="0.3">
      <c r="A113" s="12"/>
      <c r="B113" s="148" t="s">
        <v>4</v>
      </c>
      <c r="C113" s="132"/>
      <c r="D113" s="131" t="s">
        <v>5</v>
      </c>
      <c r="E113" s="132"/>
      <c r="F113" s="131" t="s">
        <v>6</v>
      </c>
      <c r="G113" s="132"/>
      <c r="H113" s="131" t="s">
        <v>7</v>
      </c>
      <c r="I113" s="132"/>
      <c r="J113" s="131" t="s">
        <v>8</v>
      </c>
      <c r="K113" s="132"/>
      <c r="L113" s="131" t="s">
        <v>9</v>
      </c>
      <c r="M113" s="132"/>
      <c r="N113" s="131" t="s">
        <v>10</v>
      </c>
      <c r="O113" s="132"/>
      <c r="P113" s="5"/>
    </row>
    <row r="114" spans="1:16" ht="16.5" thickBot="1" x14ac:dyDescent="0.3">
      <c r="A114" s="15" t="s">
        <v>11</v>
      </c>
      <c r="B114" s="185"/>
      <c r="C114" s="186"/>
      <c r="D114" s="187"/>
      <c r="E114" s="188"/>
      <c r="F114" s="187"/>
      <c r="G114" s="188"/>
      <c r="H114" s="189"/>
      <c r="I114" s="190"/>
      <c r="J114" s="191" t="s">
        <v>13</v>
      </c>
      <c r="K114" s="190"/>
      <c r="L114" s="188"/>
      <c r="M114" s="188"/>
      <c r="N114" s="188"/>
      <c r="O114" s="192"/>
      <c r="P114" s="16" t="s">
        <v>15</v>
      </c>
    </row>
    <row r="115" spans="1:16" ht="16.5" thickBot="1" x14ac:dyDescent="0.3">
      <c r="A115" s="17" t="s">
        <v>16</v>
      </c>
      <c r="B115" s="193"/>
      <c r="C115" s="194"/>
      <c r="D115" s="195"/>
      <c r="E115" s="196"/>
      <c r="F115" s="197"/>
      <c r="G115" s="191"/>
      <c r="H115" s="198"/>
      <c r="I115" s="199"/>
      <c r="J115" s="200"/>
      <c r="K115" s="201"/>
      <c r="L115" s="196"/>
      <c r="M115" s="196"/>
      <c r="N115" s="196"/>
      <c r="O115" s="202"/>
      <c r="P115" s="18"/>
    </row>
    <row r="116" spans="1:16" ht="16.5" thickBot="1" x14ac:dyDescent="0.3">
      <c r="A116" s="121" t="s">
        <v>20</v>
      </c>
      <c r="B116" s="125"/>
      <c r="C116" s="125"/>
      <c r="D116" s="125"/>
      <c r="E116" s="125"/>
      <c r="F116" s="125"/>
      <c r="G116" s="125"/>
      <c r="H116" s="126"/>
      <c r="I116" s="126"/>
      <c r="J116" s="126"/>
      <c r="K116" s="126"/>
      <c r="L116" s="125"/>
      <c r="M116" s="125"/>
      <c r="N116" s="125"/>
      <c r="O116" s="122"/>
      <c r="P116" s="19" t="s">
        <v>21</v>
      </c>
    </row>
    <row r="117" spans="1:16" ht="16.5" thickBot="1" x14ac:dyDescent="0.3">
      <c r="A117" s="20" t="s">
        <v>13</v>
      </c>
      <c r="B117" s="103"/>
      <c r="C117" s="104"/>
      <c r="D117" s="103"/>
      <c r="E117" s="104"/>
      <c r="F117" s="103"/>
      <c r="G117" s="104"/>
      <c r="H117" s="103"/>
      <c r="I117" s="104"/>
      <c r="J117" s="103"/>
      <c r="K117" s="184"/>
      <c r="L117" s="22"/>
      <c r="M117" s="23"/>
      <c r="N117" s="22"/>
      <c r="O117" s="23"/>
      <c r="P117" s="21">
        <f>(((((C117-B117))))+(E117-D117)+(G117-F117)+(I117-H117)+((K117-J117))+(M117-L117)*2)+(O117-N117)*24</f>
        <v>0</v>
      </c>
    </row>
    <row r="118" spans="1:16" ht="16.5" thickBot="1" x14ac:dyDescent="0.3">
      <c r="A118" s="20" t="s">
        <v>12</v>
      </c>
      <c r="B118" s="103"/>
      <c r="C118" s="104"/>
      <c r="D118" s="103"/>
      <c r="E118" s="104"/>
      <c r="F118" s="103"/>
      <c r="G118" s="104"/>
      <c r="H118" s="103"/>
      <c r="I118" s="74"/>
      <c r="J118" s="103"/>
      <c r="K118" s="104"/>
      <c r="L118" s="22"/>
      <c r="M118" s="23"/>
      <c r="N118" s="24"/>
      <c r="O118" s="25"/>
      <c r="P118" s="21">
        <f t="shared" ref="P118:P122" si="6">(((((C118-B118))))+(E118-D118)+(G118-F118)+(I118-H118)+((K118-J118))+(M118-L118)*2)+(O118-N118)*24</f>
        <v>0</v>
      </c>
    </row>
    <row r="119" spans="1:16" ht="16.5" thickBot="1" x14ac:dyDescent="0.3">
      <c r="A119" s="20" t="s">
        <v>22</v>
      </c>
      <c r="B119" s="103"/>
      <c r="C119" s="104"/>
      <c r="D119" s="103"/>
      <c r="E119" s="104"/>
      <c r="F119" s="103"/>
      <c r="G119" s="104"/>
      <c r="H119" s="103"/>
      <c r="I119" s="74"/>
      <c r="J119" s="103"/>
      <c r="K119" s="104"/>
      <c r="L119" s="22"/>
      <c r="M119" s="23"/>
      <c r="N119" s="22"/>
      <c r="O119" s="23"/>
      <c r="P119" s="21">
        <f t="shared" si="6"/>
        <v>0</v>
      </c>
    </row>
    <row r="120" spans="1:16" ht="16.5" thickBot="1" x14ac:dyDescent="0.3">
      <c r="A120" s="26" t="s">
        <v>14</v>
      </c>
      <c r="B120" s="103"/>
      <c r="C120" s="74"/>
      <c r="D120" s="103"/>
      <c r="E120" s="74"/>
      <c r="F120" s="103"/>
      <c r="G120" s="74"/>
      <c r="H120" s="177"/>
      <c r="I120" s="178"/>
      <c r="J120" s="103"/>
      <c r="K120" s="104"/>
      <c r="L120" s="22"/>
      <c r="M120" s="23"/>
      <c r="N120" s="22"/>
      <c r="O120" s="23"/>
      <c r="P120" s="21">
        <f t="shared" si="6"/>
        <v>0</v>
      </c>
    </row>
    <row r="121" spans="1:16" ht="16.5" thickBot="1" x14ac:dyDescent="0.3">
      <c r="A121" s="26" t="s">
        <v>23</v>
      </c>
      <c r="B121" s="103"/>
      <c r="C121" s="74"/>
      <c r="D121" s="103"/>
      <c r="E121" s="74"/>
      <c r="F121" s="103"/>
      <c r="G121" s="74"/>
      <c r="H121" s="103"/>
      <c r="I121" s="74"/>
      <c r="J121" s="103"/>
      <c r="K121" s="104"/>
      <c r="L121" s="22"/>
      <c r="M121" s="23"/>
      <c r="N121" s="22"/>
      <c r="O121" s="23"/>
      <c r="P121" s="21">
        <f t="shared" si="6"/>
        <v>0</v>
      </c>
    </row>
    <row r="122" spans="1:16" ht="16.5" thickBot="1" x14ac:dyDescent="0.3">
      <c r="A122" s="93" t="s">
        <v>37</v>
      </c>
      <c r="B122" s="103"/>
      <c r="C122" s="74"/>
      <c r="D122" s="177"/>
      <c r="E122" s="178"/>
      <c r="F122" s="103"/>
      <c r="G122" s="74"/>
      <c r="H122" s="103"/>
      <c r="I122" s="74"/>
      <c r="J122" s="103"/>
      <c r="K122" s="104"/>
      <c r="L122" s="28"/>
      <c r="M122" s="29"/>
      <c r="N122" s="28"/>
      <c r="O122" s="29"/>
      <c r="P122" s="21">
        <f t="shared" si="6"/>
        <v>0</v>
      </c>
    </row>
    <row r="123" spans="1:16" ht="16.5" thickBot="1" x14ac:dyDescent="0.3">
      <c r="A123" s="150" t="s">
        <v>24</v>
      </c>
      <c r="B123" s="129"/>
      <c r="C123" s="129"/>
      <c r="D123" s="129"/>
      <c r="E123" s="129"/>
      <c r="F123" s="129"/>
      <c r="G123" s="129"/>
      <c r="H123" s="128"/>
      <c r="I123" s="128"/>
      <c r="J123" s="128"/>
      <c r="K123" s="128"/>
      <c r="L123" s="129"/>
      <c r="M123" s="129"/>
      <c r="N123" s="129"/>
      <c r="O123" s="130"/>
      <c r="P123" s="30" t="s">
        <v>46</v>
      </c>
    </row>
    <row r="124" spans="1:16" x14ac:dyDescent="0.25">
      <c r="A124" s="107" t="s">
        <v>40</v>
      </c>
      <c r="B124" s="58"/>
      <c r="C124" s="55"/>
      <c r="D124" s="54"/>
      <c r="E124" s="55"/>
      <c r="F124" s="38"/>
      <c r="G124" s="42"/>
      <c r="H124" s="95"/>
      <c r="I124" s="118"/>
      <c r="J124" s="96"/>
      <c r="K124" s="118"/>
      <c r="L124" s="58"/>
      <c r="M124" s="55"/>
      <c r="N124" s="54"/>
      <c r="O124" s="55"/>
      <c r="P124" s="30"/>
    </row>
    <row r="125" spans="1:16" ht="16.5" thickBot="1" x14ac:dyDescent="0.3">
      <c r="A125" s="108" t="s">
        <v>41</v>
      </c>
      <c r="B125" s="58"/>
      <c r="C125" s="55"/>
      <c r="D125" s="43"/>
      <c r="E125" s="43"/>
      <c r="F125" s="54"/>
      <c r="G125" s="58"/>
      <c r="H125" s="57"/>
      <c r="I125" s="44"/>
      <c r="J125" s="22"/>
      <c r="K125" s="23"/>
      <c r="L125" s="47"/>
      <c r="M125" s="46"/>
      <c r="N125" s="47"/>
      <c r="O125" s="46"/>
      <c r="P125" s="30"/>
    </row>
    <row r="126" spans="1:16" ht="16.5" thickBot="1" x14ac:dyDescent="0.3">
      <c r="A126" s="109" t="s">
        <v>2</v>
      </c>
      <c r="B126" s="42"/>
      <c r="C126" s="39"/>
      <c r="D126" s="43"/>
      <c r="E126" s="43"/>
      <c r="F126" s="38"/>
      <c r="G126" s="42"/>
      <c r="H126" s="45"/>
      <c r="I126" s="46"/>
      <c r="J126" s="42"/>
      <c r="K126" s="39"/>
      <c r="L126" s="45"/>
      <c r="M126" s="46"/>
      <c r="N126" s="47"/>
      <c r="O126" s="46"/>
      <c r="P126" s="21">
        <f>(((((M126-L126)*2)))+((O126-N126)*1.5))*24</f>
        <v>0</v>
      </c>
    </row>
    <row r="127" spans="1:16" ht="16.5" thickBot="1" x14ac:dyDescent="0.3">
      <c r="A127" s="109" t="s">
        <v>17</v>
      </c>
      <c r="B127" s="45"/>
      <c r="C127" s="47"/>
      <c r="D127" s="43"/>
      <c r="E127" s="43"/>
      <c r="F127" s="81"/>
      <c r="G127" s="84"/>
      <c r="H127" s="57"/>
      <c r="I127" s="44"/>
      <c r="J127" s="42"/>
      <c r="K127" s="39"/>
      <c r="L127" s="47"/>
      <c r="M127" s="46"/>
      <c r="N127" s="47"/>
      <c r="O127" s="46"/>
      <c r="P127" s="21">
        <f t="shared" ref="P127:P144" si="7">(((((M127-L127)*2)))+((O127-N127)*1.5))*24</f>
        <v>0</v>
      </c>
    </row>
    <row r="128" spans="1:16" ht="16.5" thickBot="1" x14ac:dyDescent="0.3">
      <c r="A128" s="110" t="s">
        <v>19</v>
      </c>
      <c r="B128" s="47"/>
      <c r="C128" s="46"/>
      <c r="D128" s="22"/>
      <c r="E128" s="22"/>
      <c r="F128" s="38"/>
      <c r="G128" s="42"/>
      <c r="H128" s="81"/>
      <c r="I128" s="82"/>
      <c r="J128" s="42"/>
      <c r="K128" s="39"/>
      <c r="L128" s="47"/>
      <c r="M128" s="46"/>
      <c r="N128" s="47"/>
      <c r="O128" s="46"/>
      <c r="P128" s="21">
        <f t="shared" si="7"/>
        <v>0</v>
      </c>
    </row>
    <row r="129" spans="1:16" ht="16.5" thickBot="1" x14ac:dyDescent="0.3">
      <c r="A129" s="111" t="s">
        <v>25</v>
      </c>
      <c r="B129" s="42"/>
      <c r="C129" s="39"/>
      <c r="D129" s="84"/>
      <c r="E129" s="84"/>
      <c r="F129" s="49"/>
      <c r="G129" s="83"/>
      <c r="H129" s="57"/>
      <c r="I129" s="44"/>
      <c r="J129" s="22"/>
      <c r="K129" s="23"/>
      <c r="L129" s="22"/>
      <c r="M129" s="23"/>
      <c r="N129" s="22"/>
      <c r="O129" s="23"/>
      <c r="P129" s="21">
        <f t="shared" si="7"/>
        <v>0</v>
      </c>
    </row>
    <row r="130" spans="1:16" ht="16.5" thickBot="1" x14ac:dyDescent="0.3">
      <c r="A130" s="112" t="s">
        <v>26</v>
      </c>
      <c r="B130" s="42"/>
      <c r="C130" s="39"/>
      <c r="D130" s="81"/>
      <c r="E130" s="82"/>
      <c r="F130" s="83"/>
      <c r="G130" s="83"/>
      <c r="H130" s="182"/>
      <c r="I130" s="183"/>
      <c r="J130" s="22"/>
      <c r="K130" s="23"/>
      <c r="L130" s="22"/>
      <c r="M130" s="23"/>
      <c r="N130" s="22"/>
      <c r="O130" s="23"/>
      <c r="P130" s="21">
        <f t="shared" si="7"/>
        <v>0</v>
      </c>
    </row>
    <row r="131" spans="1:16" ht="16.5" thickBot="1" x14ac:dyDescent="0.3">
      <c r="A131" s="113" t="s">
        <v>27</v>
      </c>
      <c r="B131" s="84"/>
      <c r="C131" s="82"/>
      <c r="D131" s="42"/>
      <c r="E131" s="42"/>
      <c r="F131" s="53"/>
      <c r="G131" s="22"/>
      <c r="H131" s="53"/>
      <c r="I131" s="23"/>
      <c r="J131" s="22"/>
      <c r="K131" s="23"/>
      <c r="L131" s="22"/>
      <c r="M131" s="23"/>
      <c r="N131" s="22"/>
      <c r="O131" s="23"/>
      <c r="P131" s="21">
        <f t="shared" si="7"/>
        <v>0</v>
      </c>
    </row>
    <row r="132" spans="1:16" ht="16.5" thickBot="1" x14ac:dyDescent="0.3">
      <c r="A132" s="113" t="s">
        <v>28</v>
      </c>
      <c r="B132" s="84"/>
      <c r="C132" s="82"/>
      <c r="D132" s="74"/>
      <c r="E132" s="104"/>
      <c r="F132" s="85"/>
      <c r="G132" s="85"/>
      <c r="H132" s="54"/>
      <c r="I132" s="55"/>
      <c r="J132" s="22"/>
      <c r="K132" s="22"/>
      <c r="L132" s="22"/>
      <c r="M132" s="23"/>
      <c r="N132" s="53"/>
      <c r="O132" s="23"/>
      <c r="P132" s="21">
        <f t="shared" si="7"/>
        <v>0</v>
      </c>
    </row>
    <row r="133" spans="1:16" ht="16.5" thickBot="1" x14ac:dyDescent="0.3">
      <c r="A133" s="112" t="s">
        <v>29</v>
      </c>
      <c r="B133" s="58"/>
      <c r="C133" s="55"/>
      <c r="D133" s="43"/>
      <c r="E133" s="43"/>
      <c r="F133" s="54"/>
      <c r="G133" s="58"/>
      <c r="H133" s="54"/>
      <c r="I133" s="55"/>
      <c r="J133" s="22"/>
      <c r="K133" s="23"/>
      <c r="L133" s="22"/>
      <c r="M133" s="23"/>
      <c r="N133" s="22"/>
      <c r="O133" s="23"/>
      <c r="P133" s="21">
        <f t="shared" si="7"/>
        <v>0</v>
      </c>
    </row>
    <row r="134" spans="1:16" ht="16.5" thickBot="1" x14ac:dyDescent="0.3">
      <c r="A134" s="114" t="s">
        <v>30</v>
      </c>
      <c r="B134" s="22"/>
      <c r="C134" s="23"/>
      <c r="D134" s="54"/>
      <c r="E134" s="55"/>
      <c r="F134" s="22"/>
      <c r="G134" s="22"/>
      <c r="H134" s="54"/>
      <c r="I134" s="55"/>
      <c r="J134" s="58"/>
      <c r="K134" s="55"/>
      <c r="L134" s="22"/>
      <c r="M134" s="23"/>
      <c r="N134" s="22"/>
      <c r="O134" s="23"/>
      <c r="P134" s="21">
        <f t="shared" si="7"/>
        <v>0</v>
      </c>
    </row>
    <row r="135" spans="1:16" ht="16.5" thickBot="1" x14ac:dyDescent="0.3">
      <c r="A135" s="115" t="s">
        <v>31</v>
      </c>
      <c r="B135" s="54"/>
      <c r="C135" s="58"/>
      <c r="D135" s="58"/>
      <c r="E135" s="58"/>
      <c r="F135" s="54"/>
      <c r="G135" s="58"/>
      <c r="H135" s="53"/>
      <c r="I135" s="23"/>
      <c r="J135" s="58"/>
      <c r="K135" s="55"/>
      <c r="L135" s="22"/>
      <c r="M135" s="23"/>
      <c r="N135" s="22"/>
      <c r="O135" s="23"/>
      <c r="P135" s="21">
        <f t="shared" si="7"/>
        <v>0</v>
      </c>
    </row>
    <row r="136" spans="1:16" ht="16.5" thickBot="1" x14ac:dyDescent="0.3">
      <c r="A136" s="115" t="s">
        <v>32</v>
      </c>
      <c r="B136" s="58"/>
      <c r="C136" s="55"/>
      <c r="D136" s="58"/>
      <c r="E136" s="58"/>
      <c r="F136" s="54"/>
      <c r="G136" s="58"/>
      <c r="H136" s="54"/>
      <c r="I136" s="55"/>
      <c r="J136" s="22"/>
      <c r="K136" s="23"/>
      <c r="L136" s="22"/>
      <c r="M136" s="23"/>
      <c r="N136" s="53"/>
      <c r="O136" s="23"/>
      <c r="P136" s="21">
        <f t="shared" si="7"/>
        <v>0</v>
      </c>
    </row>
    <row r="137" spans="1:16" ht="16.5" thickBot="1" x14ac:dyDescent="0.3">
      <c r="A137" s="115" t="s">
        <v>33</v>
      </c>
      <c r="B137" s="58"/>
      <c r="C137" s="55"/>
      <c r="D137" s="58"/>
      <c r="E137" s="58"/>
      <c r="F137" s="54"/>
      <c r="G137" s="58"/>
      <c r="H137" s="54"/>
      <c r="I137" s="55"/>
      <c r="J137" s="58"/>
      <c r="K137" s="55"/>
      <c r="L137" s="22"/>
      <c r="M137" s="23"/>
      <c r="N137" s="22"/>
      <c r="O137" s="23"/>
      <c r="P137" s="21">
        <f t="shared" si="7"/>
        <v>0</v>
      </c>
    </row>
    <row r="138" spans="1:16" ht="16.5" thickBot="1" x14ac:dyDescent="0.3">
      <c r="A138" s="114" t="s">
        <v>34</v>
      </c>
      <c r="B138" s="58"/>
      <c r="C138" s="55"/>
      <c r="D138" s="58"/>
      <c r="E138" s="58"/>
      <c r="F138" s="54"/>
      <c r="G138" s="58"/>
      <c r="H138" s="54"/>
      <c r="I138" s="55"/>
      <c r="J138" s="58"/>
      <c r="K138" s="55"/>
      <c r="L138" s="22"/>
      <c r="M138" s="23"/>
      <c r="N138" s="22"/>
      <c r="O138" s="23"/>
      <c r="P138" s="21">
        <f t="shared" si="7"/>
        <v>0</v>
      </c>
    </row>
    <row r="139" spans="1:16" ht="16.5" thickBot="1" x14ac:dyDescent="0.3">
      <c r="A139" s="115" t="s">
        <v>35</v>
      </c>
      <c r="B139" s="58"/>
      <c r="C139" s="55"/>
      <c r="D139" s="43"/>
      <c r="E139" s="43"/>
      <c r="F139" s="54"/>
      <c r="G139" s="58"/>
      <c r="H139" s="54"/>
      <c r="I139" s="55"/>
      <c r="J139" s="58"/>
      <c r="K139" s="55"/>
      <c r="L139" s="22"/>
      <c r="M139" s="23"/>
      <c r="N139" s="58"/>
      <c r="O139" s="55"/>
      <c r="P139" s="21">
        <f t="shared" si="7"/>
        <v>0</v>
      </c>
    </row>
    <row r="140" spans="1:16" ht="16.5" thickBot="1" x14ac:dyDescent="0.3">
      <c r="A140" s="114" t="s">
        <v>36</v>
      </c>
      <c r="B140" s="58"/>
      <c r="C140" s="55"/>
      <c r="D140" s="58"/>
      <c r="E140" s="55"/>
      <c r="F140" s="54"/>
      <c r="G140" s="58"/>
      <c r="H140" s="54"/>
      <c r="I140" s="55"/>
      <c r="J140" s="58"/>
      <c r="K140" s="55"/>
      <c r="L140" s="22"/>
      <c r="M140" s="23"/>
      <c r="N140" s="22"/>
      <c r="O140" s="23"/>
      <c r="P140" s="21">
        <f>(((((M140-L140)*2)))+((O140-N140)*1.5))*24</f>
        <v>0</v>
      </c>
    </row>
    <row r="141" spans="1:16" ht="16.5" thickBot="1" x14ac:dyDescent="0.3">
      <c r="A141" s="114" t="s">
        <v>45</v>
      </c>
      <c r="B141" s="58"/>
      <c r="C141" s="55"/>
      <c r="D141" s="58"/>
      <c r="E141" s="58"/>
      <c r="F141" s="54"/>
      <c r="G141" s="58"/>
      <c r="H141" s="54"/>
      <c r="I141" s="55"/>
      <c r="J141" s="58"/>
      <c r="K141" s="55"/>
      <c r="L141" s="22"/>
      <c r="M141" s="23"/>
      <c r="N141" s="22"/>
      <c r="O141" s="23"/>
      <c r="P141" s="21">
        <f>(((((M141-L141)*2)))+((O141-N141)*1.5))*24</f>
        <v>0</v>
      </c>
    </row>
    <row r="142" spans="1:16" ht="16.5" thickBot="1" x14ac:dyDescent="0.3">
      <c r="A142" s="114" t="s">
        <v>42</v>
      </c>
      <c r="B142" s="58"/>
      <c r="C142" s="55"/>
      <c r="D142" s="58"/>
      <c r="E142" s="58"/>
      <c r="F142" s="54"/>
      <c r="G142" s="58"/>
      <c r="H142" s="54"/>
      <c r="I142" s="55"/>
      <c r="J142" s="58"/>
      <c r="K142" s="55"/>
      <c r="L142" s="22"/>
      <c r="M142" s="23"/>
      <c r="N142" s="22"/>
      <c r="O142" s="23"/>
      <c r="P142" s="21">
        <f t="shared" si="7"/>
        <v>0</v>
      </c>
    </row>
    <row r="143" spans="1:16" ht="16.5" thickBot="1" x14ac:dyDescent="0.3">
      <c r="A143" s="114" t="s">
        <v>43</v>
      </c>
      <c r="B143" s="58"/>
      <c r="C143" s="55"/>
      <c r="D143" s="58"/>
      <c r="E143" s="55"/>
      <c r="F143" s="54"/>
      <c r="G143" s="58"/>
      <c r="H143" s="54"/>
      <c r="I143" s="55"/>
      <c r="J143" s="58"/>
      <c r="K143" s="55"/>
      <c r="L143" s="22"/>
      <c r="M143" s="23"/>
      <c r="N143" s="22"/>
      <c r="O143" s="23"/>
      <c r="P143" s="21">
        <f t="shared" si="7"/>
        <v>0</v>
      </c>
    </row>
    <row r="144" spans="1:16" ht="16.5" thickBot="1" x14ac:dyDescent="0.3">
      <c r="A144" s="116" t="s">
        <v>38</v>
      </c>
      <c r="B144" s="64"/>
      <c r="C144" s="63"/>
      <c r="D144" s="58"/>
      <c r="E144" s="55"/>
      <c r="F144" s="62"/>
      <c r="G144" s="64"/>
      <c r="H144" s="62"/>
      <c r="I144" s="63"/>
      <c r="J144" s="64"/>
      <c r="K144" s="63"/>
      <c r="L144" s="22"/>
      <c r="M144" s="23"/>
      <c r="N144" s="58"/>
      <c r="O144" s="55"/>
      <c r="P144" s="21">
        <f t="shared" si="7"/>
        <v>0</v>
      </c>
    </row>
    <row r="145" spans="1:16" ht="16.5" thickBot="1" x14ac:dyDescent="0.3"/>
    <row r="146" spans="1:16" ht="16.5" thickBot="1" x14ac:dyDescent="0.3">
      <c r="A146" s="1" t="s">
        <v>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</row>
    <row r="147" spans="1:16" ht="16.5" thickBot="1" x14ac:dyDescent="0.3">
      <c r="A147" s="4"/>
      <c r="B147" s="151">
        <f>N110+1</f>
        <v>22</v>
      </c>
      <c r="C147" s="152"/>
      <c r="D147" s="153">
        <f>B147+1</f>
        <v>23</v>
      </c>
      <c r="E147" s="154"/>
      <c r="F147" s="151">
        <f>D147+1</f>
        <v>24</v>
      </c>
      <c r="G147" s="152"/>
      <c r="H147" s="155">
        <f>F147+1</f>
        <v>25</v>
      </c>
      <c r="I147" s="156"/>
      <c r="J147" s="151">
        <f>H147+1</f>
        <v>26</v>
      </c>
      <c r="K147" s="156"/>
      <c r="L147" s="155">
        <f>J147+1</f>
        <v>27</v>
      </c>
      <c r="M147" s="156"/>
      <c r="N147" s="155">
        <f>L147+1</f>
        <v>28</v>
      </c>
      <c r="O147" s="156"/>
      <c r="P147" s="5"/>
    </row>
    <row r="148" spans="1:16" ht="16.5" thickBot="1" x14ac:dyDescent="0.3">
      <c r="A148" s="6"/>
      <c r="B148" s="7"/>
      <c r="C148" s="8"/>
      <c r="D148" s="7"/>
      <c r="E148" s="8"/>
      <c r="F148" s="7"/>
      <c r="G148" s="8"/>
      <c r="H148" s="7"/>
      <c r="I148" s="8"/>
      <c r="J148" s="9"/>
      <c r="K148" s="9"/>
      <c r="L148" s="10"/>
      <c r="M148" s="10"/>
      <c r="N148" s="10"/>
      <c r="O148" s="11"/>
      <c r="P148" s="5"/>
    </row>
    <row r="149" spans="1:16" ht="16.5" thickBot="1" x14ac:dyDescent="0.3">
      <c r="A149" s="12"/>
      <c r="B149" s="144"/>
      <c r="C149" s="145"/>
      <c r="D149" s="13" t="s">
        <v>1</v>
      </c>
      <c r="E149" s="14"/>
      <c r="F149" s="7"/>
      <c r="G149" s="8"/>
      <c r="H149" s="13" t="s">
        <v>1</v>
      </c>
      <c r="I149" s="14"/>
      <c r="J149" s="7"/>
      <c r="K149" s="8"/>
      <c r="L149" s="13" t="s">
        <v>1</v>
      </c>
      <c r="M149" s="14"/>
      <c r="N149" s="13" t="s">
        <v>1</v>
      </c>
      <c r="O149" s="14"/>
      <c r="P149" s="5"/>
    </row>
    <row r="150" spans="1:16" ht="16.5" thickBot="1" x14ac:dyDescent="0.3">
      <c r="A150" s="12"/>
      <c r="B150" s="148" t="s">
        <v>4</v>
      </c>
      <c r="C150" s="132"/>
      <c r="D150" s="131" t="s">
        <v>5</v>
      </c>
      <c r="E150" s="132"/>
      <c r="F150" s="131" t="s">
        <v>6</v>
      </c>
      <c r="G150" s="132"/>
      <c r="H150" s="131" t="s">
        <v>7</v>
      </c>
      <c r="I150" s="132"/>
      <c r="J150" s="131" t="s">
        <v>8</v>
      </c>
      <c r="K150" s="132"/>
      <c r="L150" s="131" t="s">
        <v>9</v>
      </c>
      <c r="M150" s="132"/>
      <c r="N150" s="131" t="s">
        <v>10</v>
      </c>
      <c r="O150" s="132"/>
      <c r="P150" s="5"/>
    </row>
    <row r="151" spans="1:16" ht="16.5" thickBot="1" x14ac:dyDescent="0.3">
      <c r="A151" s="15" t="s">
        <v>11</v>
      </c>
      <c r="B151" s="133"/>
      <c r="C151" s="134"/>
      <c r="D151" s="135"/>
      <c r="E151" s="136"/>
      <c r="F151" s="135"/>
      <c r="G151" s="136"/>
      <c r="H151" s="137"/>
      <c r="I151" s="138"/>
      <c r="J151" s="120"/>
      <c r="K151" s="138"/>
      <c r="L151" s="136"/>
      <c r="M151" s="136"/>
      <c r="N151" s="136"/>
      <c r="O151" s="139"/>
      <c r="P151" s="16" t="s">
        <v>15</v>
      </c>
    </row>
    <row r="152" spans="1:16" ht="16.5" thickBot="1" x14ac:dyDescent="0.3">
      <c r="A152" s="17" t="s">
        <v>16</v>
      </c>
      <c r="B152" s="140"/>
      <c r="C152" s="141"/>
      <c r="D152" s="142"/>
      <c r="E152" s="143"/>
      <c r="F152" s="119"/>
      <c r="G152" s="120"/>
      <c r="H152" s="121"/>
      <c r="I152" s="122"/>
      <c r="J152" s="126"/>
      <c r="K152" s="157"/>
      <c r="L152" s="143"/>
      <c r="M152" s="143"/>
      <c r="N152" s="143"/>
      <c r="O152" s="149"/>
      <c r="P152" s="18"/>
    </row>
    <row r="153" spans="1:16" ht="16.5" thickBot="1" x14ac:dyDescent="0.3">
      <c r="A153" s="121" t="s">
        <v>20</v>
      </c>
      <c r="B153" s="125"/>
      <c r="C153" s="125"/>
      <c r="D153" s="125"/>
      <c r="E153" s="125"/>
      <c r="F153" s="125"/>
      <c r="G153" s="125"/>
      <c r="H153" s="126"/>
      <c r="I153" s="126"/>
      <c r="J153" s="126"/>
      <c r="K153" s="126"/>
      <c r="L153" s="125"/>
      <c r="M153" s="125"/>
      <c r="N153" s="125"/>
      <c r="O153" s="122"/>
      <c r="P153" s="19" t="s">
        <v>21</v>
      </c>
    </row>
    <row r="154" spans="1:16" ht="16.5" thickBot="1" x14ac:dyDescent="0.3">
      <c r="A154" s="20" t="s">
        <v>13</v>
      </c>
      <c r="B154" s="103"/>
      <c r="C154" s="104"/>
      <c r="D154" s="103"/>
      <c r="E154" s="104"/>
      <c r="F154" s="103"/>
      <c r="G154" s="104"/>
      <c r="H154" s="103"/>
      <c r="I154" s="104"/>
      <c r="J154" s="22"/>
      <c r="K154" s="23"/>
      <c r="L154" s="22"/>
      <c r="M154" s="23"/>
      <c r="N154" s="24"/>
      <c r="O154" s="25"/>
      <c r="P154" s="21">
        <f>(((((C154-B154))))+(E154-D154)+(G154-F154)+(I154-H154)+((K154-J154))+(M154-L154))*24</f>
        <v>0</v>
      </c>
    </row>
    <row r="155" spans="1:16" ht="16.5" thickBot="1" x14ac:dyDescent="0.3">
      <c r="A155" s="20" t="s">
        <v>12</v>
      </c>
      <c r="B155" s="103"/>
      <c r="C155" s="104"/>
      <c r="D155" s="103"/>
      <c r="E155" s="104"/>
      <c r="F155" s="103"/>
      <c r="G155" s="104"/>
      <c r="H155" s="103"/>
      <c r="I155" s="74"/>
      <c r="J155" s="103"/>
      <c r="K155" s="104"/>
      <c r="L155" s="91"/>
      <c r="M155" s="92"/>
      <c r="N155" s="91"/>
      <c r="O155" s="92"/>
      <c r="P155" s="21">
        <f t="shared" ref="P155:P159" si="8">(((((C155-B155))))+(E155-D155)+(G155-F155)+(I155-H155)+((K155-J155))+(M155-L155))*24</f>
        <v>0</v>
      </c>
    </row>
    <row r="156" spans="1:16" ht="16.5" thickBot="1" x14ac:dyDescent="0.3">
      <c r="A156" s="20" t="s">
        <v>22</v>
      </c>
      <c r="B156" s="103"/>
      <c r="C156" s="104"/>
      <c r="D156" s="103"/>
      <c r="E156" s="104"/>
      <c r="F156" s="103"/>
      <c r="G156" s="104"/>
      <c r="H156" s="103"/>
      <c r="I156" s="74"/>
      <c r="J156" s="103"/>
      <c r="K156" s="104"/>
      <c r="L156" s="22"/>
      <c r="M156" s="23"/>
      <c r="N156" s="22"/>
      <c r="O156" s="23"/>
      <c r="P156" s="21">
        <f t="shared" si="8"/>
        <v>0</v>
      </c>
    </row>
    <row r="157" spans="1:16" ht="16.5" thickBot="1" x14ac:dyDescent="0.3">
      <c r="A157" s="26" t="s">
        <v>14</v>
      </c>
      <c r="B157" s="103"/>
      <c r="C157" s="74"/>
      <c r="D157" s="103"/>
      <c r="E157" s="74"/>
      <c r="F157" s="103"/>
      <c r="G157" s="74"/>
      <c r="H157" s="177"/>
      <c r="I157" s="178"/>
      <c r="J157" s="103"/>
      <c r="K157" s="104"/>
      <c r="L157" s="22"/>
      <c r="M157" s="23"/>
      <c r="N157" s="22"/>
      <c r="O157" s="23"/>
      <c r="P157" s="21">
        <f t="shared" si="8"/>
        <v>0</v>
      </c>
    </row>
    <row r="158" spans="1:16" ht="16.5" thickBot="1" x14ac:dyDescent="0.3">
      <c r="A158" s="26" t="s">
        <v>23</v>
      </c>
      <c r="B158" s="103"/>
      <c r="C158" s="74"/>
      <c r="D158" s="103"/>
      <c r="E158" s="74"/>
      <c r="F158" s="103"/>
      <c r="G158" s="74"/>
      <c r="H158" s="103"/>
      <c r="I158" s="74"/>
      <c r="J158" s="103"/>
      <c r="K158" s="104"/>
      <c r="L158" s="22"/>
      <c r="M158" s="23"/>
      <c r="N158" s="22"/>
      <c r="O158" s="23"/>
      <c r="P158" s="21">
        <f t="shared" si="8"/>
        <v>0</v>
      </c>
    </row>
    <row r="159" spans="1:16" ht="16.5" thickBot="1" x14ac:dyDescent="0.3">
      <c r="A159" s="93" t="s">
        <v>37</v>
      </c>
      <c r="B159" s="117"/>
      <c r="C159" s="85"/>
      <c r="D159" s="179"/>
      <c r="E159" s="180"/>
      <c r="F159" s="117"/>
      <c r="G159" s="85"/>
      <c r="H159" s="117"/>
      <c r="I159" s="85"/>
      <c r="J159" s="117"/>
      <c r="K159" s="86"/>
      <c r="L159" s="28"/>
      <c r="M159" s="29"/>
      <c r="N159" s="28"/>
      <c r="O159" s="29"/>
      <c r="P159" s="21">
        <f t="shared" si="8"/>
        <v>0</v>
      </c>
    </row>
    <row r="160" spans="1:16" ht="16.5" thickBot="1" x14ac:dyDescent="0.3">
      <c r="A160" s="150" t="s">
        <v>24</v>
      </c>
      <c r="B160" s="129"/>
      <c r="C160" s="129"/>
      <c r="D160" s="128"/>
      <c r="E160" s="128"/>
      <c r="F160" s="129"/>
      <c r="G160" s="129"/>
      <c r="H160" s="128"/>
      <c r="I160" s="128"/>
      <c r="J160" s="129"/>
      <c r="K160" s="129"/>
      <c r="L160" s="128"/>
      <c r="M160" s="128"/>
      <c r="N160" s="129"/>
      <c r="O160" s="130"/>
      <c r="P160" s="30"/>
    </row>
    <row r="161" spans="1:16" x14ac:dyDescent="0.25">
      <c r="A161" s="107" t="s">
        <v>40</v>
      </c>
      <c r="B161" s="58"/>
      <c r="C161" s="58"/>
      <c r="D161" s="95"/>
      <c r="E161" s="118"/>
      <c r="F161" s="42"/>
      <c r="G161" s="42"/>
      <c r="H161" s="95"/>
      <c r="I161" s="118"/>
      <c r="J161" s="58"/>
      <c r="K161" s="58"/>
      <c r="L161" s="95"/>
      <c r="M161" s="118"/>
      <c r="N161" s="58"/>
      <c r="O161" s="55"/>
      <c r="P161" s="30"/>
    </row>
    <row r="162" spans="1:16" ht="16.5" thickBot="1" x14ac:dyDescent="0.3">
      <c r="A162" s="108" t="s">
        <v>41</v>
      </c>
      <c r="B162" s="22"/>
      <c r="C162" s="22"/>
      <c r="D162" s="57"/>
      <c r="E162" s="44"/>
      <c r="F162" s="22"/>
      <c r="G162" s="22"/>
      <c r="H162" s="53"/>
      <c r="I162" s="23"/>
      <c r="J162" s="22"/>
      <c r="K162" s="22"/>
      <c r="L162" s="54"/>
      <c r="M162" s="55"/>
      <c r="N162" s="47"/>
      <c r="O162" s="46"/>
      <c r="P162" s="30"/>
    </row>
    <row r="163" spans="1:16" ht="16.5" thickBot="1" x14ac:dyDescent="0.3">
      <c r="A163" s="109" t="s">
        <v>2</v>
      </c>
      <c r="B163" s="42"/>
      <c r="C163" s="42"/>
      <c r="D163" s="57"/>
      <c r="E163" s="44"/>
      <c r="F163" s="42"/>
      <c r="G163" s="42"/>
      <c r="H163" s="45"/>
      <c r="I163" s="46"/>
      <c r="J163" s="42"/>
      <c r="K163" s="42"/>
      <c r="L163" s="45"/>
      <c r="M163" s="46"/>
      <c r="N163" s="47"/>
      <c r="O163" s="46"/>
      <c r="P163" s="21">
        <f t="shared" ref="P163:P181" si="9">(((((C163-B163))))+(E163-D163)+(G163-F163)+(I163-H163)+((K163-J163))+(M163-L163)+((O163-N163)*1.5))*24</f>
        <v>0</v>
      </c>
    </row>
    <row r="164" spans="1:16" ht="16.5" thickBot="1" x14ac:dyDescent="0.3">
      <c r="A164" s="109" t="s">
        <v>17</v>
      </c>
      <c r="B164" s="47"/>
      <c r="C164" s="47"/>
      <c r="D164" s="57"/>
      <c r="E164" s="44"/>
      <c r="F164" s="43"/>
      <c r="G164" s="43"/>
      <c r="H164" s="57"/>
      <c r="I164" s="44"/>
      <c r="J164" s="42"/>
      <c r="K164" s="42"/>
      <c r="L164" s="45"/>
      <c r="M164" s="46"/>
      <c r="N164" s="47"/>
      <c r="O164" s="46"/>
      <c r="P164" s="21">
        <f t="shared" si="9"/>
        <v>0</v>
      </c>
    </row>
    <row r="165" spans="1:16" ht="16.5" thickBot="1" x14ac:dyDescent="0.3">
      <c r="A165" s="110" t="s">
        <v>19</v>
      </c>
      <c r="B165" s="47"/>
      <c r="C165" s="47"/>
      <c r="D165" s="53"/>
      <c r="E165" s="23"/>
      <c r="F165" s="42"/>
      <c r="G165" s="42"/>
      <c r="H165" s="78"/>
      <c r="I165" s="41"/>
      <c r="J165" s="42"/>
      <c r="K165" s="42"/>
      <c r="L165" s="45"/>
      <c r="M165" s="46"/>
      <c r="N165" s="47"/>
      <c r="O165" s="46"/>
      <c r="P165" s="21">
        <f t="shared" si="9"/>
        <v>0</v>
      </c>
    </row>
    <row r="166" spans="1:16" ht="16.5" thickBot="1" x14ac:dyDescent="0.3">
      <c r="A166" s="111" t="s">
        <v>25</v>
      </c>
      <c r="B166" s="42"/>
      <c r="C166" s="42"/>
      <c r="D166" s="81"/>
      <c r="E166" s="82"/>
      <c r="F166" s="83"/>
      <c r="G166" s="83"/>
      <c r="H166" s="57"/>
      <c r="I166" s="44"/>
      <c r="J166" s="22"/>
      <c r="K166" s="22"/>
      <c r="L166" s="51"/>
      <c r="M166" s="25"/>
      <c r="N166" s="24"/>
      <c r="O166" s="25"/>
      <c r="P166" s="21">
        <f t="shared" si="9"/>
        <v>0</v>
      </c>
    </row>
    <row r="167" spans="1:16" ht="16.5" thickBot="1" x14ac:dyDescent="0.3">
      <c r="A167" s="112" t="s">
        <v>26</v>
      </c>
      <c r="B167" s="83"/>
      <c r="C167" s="83"/>
      <c r="D167" s="81"/>
      <c r="E167" s="82"/>
      <c r="F167" s="83"/>
      <c r="G167" s="83"/>
      <c r="H167" s="182"/>
      <c r="I167" s="183"/>
      <c r="J167" s="22"/>
      <c r="K167" s="22"/>
      <c r="L167" s="53"/>
      <c r="M167" s="23"/>
      <c r="N167" s="22"/>
      <c r="O167" s="23"/>
      <c r="P167" s="21">
        <f t="shared" si="9"/>
        <v>0</v>
      </c>
    </row>
    <row r="168" spans="1:16" ht="16.5" thickBot="1" x14ac:dyDescent="0.3">
      <c r="A168" s="113" t="s">
        <v>27</v>
      </c>
      <c r="B168" s="84"/>
      <c r="C168" s="84"/>
      <c r="D168" s="38"/>
      <c r="E168" s="39"/>
      <c r="F168" s="22"/>
      <c r="G168" s="22"/>
      <c r="H168" s="53"/>
      <c r="I168" s="23"/>
      <c r="J168" s="22"/>
      <c r="K168" s="22"/>
      <c r="L168" s="53"/>
      <c r="M168" s="23"/>
      <c r="N168" s="22"/>
      <c r="O168" s="23"/>
      <c r="P168" s="21">
        <f t="shared" si="9"/>
        <v>0</v>
      </c>
    </row>
    <row r="169" spans="1:16" ht="16.5" thickBot="1" x14ac:dyDescent="0.3">
      <c r="A169" s="113" t="s">
        <v>28</v>
      </c>
      <c r="B169" s="84"/>
      <c r="C169" s="84"/>
      <c r="D169" s="38"/>
      <c r="E169" s="39"/>
      <c r="F169" s="85"/>
      <c r="G169" s="85"/>
      <c r="H169" s="54"/>
      <c r="I169" s="55"/>
      <c r="J169" s="22"/>
      <c r="K169" s="22"/>
      <c r="L169" s="53"/>
      <c r="M169" s="23"/>
      <c r="N169" s="22"/>
      <c r="O169" s="23"/>
      <c r="P169" s="21">
        <f t="shared" si="9"/>
        <v>0</v>
      </c>
    </row>
    <row r="170" spans="1:16" ht="16.5" thickBot="1" x14ac:dyDescent="0.3">
      <c r="A170" s="112" t="s">
        <v>29</v>
      </c>
      <c r="B170" s="58"/>
      <c r="C170" s="58"/>
      <c r="D170" s="57"/>
      <c r="E170" s="44"/>
      <c r="F170" s="58"/>
      <c r="G170" s="58"/>
      <c r="H170" s="54"/>
      <c r="I170" s="55"/>
      <c r="J170" s="22"/>
      <c r="K170" s="22"/>
      <c r="L170" s="45"/>
      <c r="M170" s="46"/>
      <c r="N170" s="47"/>
      <c r="O170" s="46"/>
      <c r="P170" s="21">
        <f t="shared" si="9"/>
        <v>0</v>
      </c>
    </row>
    <row r="171" spans="1:16" ht="16.5" thickBot="1" x14ac:dyDescent="0.3">
      <c r="A171" s="114" t="s">
        <v>30</v>
      </c>
      <c r="B171" s="22"/>
      <c r="C171" s="22"/>
      <c r="D171" s="54"/>
      <c r="E171" s="55"/>
      <c r="F171" s="22"/>
      <c r="G171" s="22"/>
      <c r="H171" s="54"/>
      <c r="I171" s="55"/>
      <c r="J171" s="58"/>
      <c r="K171" s="58"/>
      <c r="L171" s="53"/>
      <c r="M171" s="23"/>
      <c r="N171" s="22"/>
      <c r="O171" s="23"/>
      <c r="P171" s="21">
        <f t="shared" si="9"/>
        <v>0</v>
      </c>
    </row>
    <row r="172" spans="1:16" ht="16.5" thickBot="1" x14ac:dyDescent="0.3">
      <c r="A172" s="115" t="s">
        <v>31</v>
      </c>
      <c r="B172" s="58"/>
      <c r="C172" s="58"/>
      <c r="D172" s="54"/>
      <c r="E172" s="55"/>
      <c r="F172" s="58"/>
      <c r="G172" s="58"/>
      <c r="H172" s="54"/>
      <c r="I172" s="55"/>
      <c r="J172" s="43"/>
      <c r="K172" s="43"/>
      <c r="L172" s="53"/>
      <c r="M172" s="23"/>
      <c r="N172" s="22"/>
      <c r="O172" s="23"/>
      <c r="P172" s="21">
        <f t="shared" si="9"/>
        <v>0</v>
      </c>
    </row>
    <row r="173" spans="1:16" ht="16.5" thickBot="1" x14ac:dyDescent="0.3">
      <c r="A173" s="115" t="s">
        <v>32</v>
      </c>
      <c r="B173" s="58"/>
      <c r="C173" s="58"/>
      <c r="D173" s="54"/>
      <c r="E173" s="55"/>
      <c r="F173" s="58"/>
      <c r="G173" s="58"/>
      <c r="H173" s="54"/>
      <c r="I173" s="55"/>
      <c r="J173" s="58"/>
      <c r="K173" s="58"/>
      <c r="L173" s="53"/>
      <c r="M173" s="23"/>
      <c r="N173" s="22"/>
      <c r="O173" s="23"/>
      <c r="P173" s="21">
        <f t="shared" si="9"/>
        <v>0</v>
      </c>
    </row>
    <row r="174" spans="1:16" ht="16.5" thickBot="1" x14ac:dyDescent="0.3">
      <c r="A174" s="115" t="s">
        <v>33</v>
      </c>
      <c r="B174" s="58"/>
      <c r="C174" s="58"/>
      <c r="D174" s="54"/>
      <c r="E174" s="55"/>
      <c r="F174" s="58"/>
      <c r="G174" s="58"/>
      <c r="H174" s="54"/>
      <c r="I174" s="55"/>
      <c r="J174" s="58"/>
      <c r="K174" s="58"/>
      <c r="L174" s="53"/>
      <c r="M174" s="23"/>
      <c r="N174" s="22"/>
      <c r="O174" s="23"/>
      <c r="P174" s="21">
        <f t="shared" si="9"/>
        <v>0</v>
      </c>
    </row>
    <row r="175" spans="1:16" ht="16.5" thickBot="1" x14ac:dyDescent="0.3">
      <c r="A175" s="114" t="s">
        <v>34</v>
      </c>
      <c r="B175" s="58"/>
      <c r="C175" s="58"/>
      <c r="D175" s="54"/>
      <c r="E175" s="55"/>
      <c r="F175" s="58"/>
      <c r="G175" s="58"/>
      <c r="H175" s="54"/>
      <c r="I175" s="55"/>
      <c r="J175" s="58"/>
      <c r="K175" s="58"/>
      <c r="L175" s="53"/>
      <c r="M175" s="23"/>
      <c r="N175" s="22"/>
      <c r="O175" s="23"/>
      <c r="P175" s="21">
        <f t="shared" si="9"/>
        <v>0</v>
      </c>
    </row>
    <row r="176" spans="1:16" ht="16.5" thickBot="1" x14ac:dyDescent="0.3">
      <c r="A176" s="115" t="s">
        <v>35</v>
      </c>
      <c r="B176" s="58"/>
      <c r="C176" s="58"/>
      <c r="D176" s="57"/>
      <c r="E176" s="44"/>
      <c r="F176" s="58"/>
      <c r="G176" s="58"/>
      <c r="H176" s="54"/>
      <c r="I176" s="55"/>
      <c r="J176" s="58"/>
      <c r="K176" s="58"/>
      <c r="L176" s="53"/>
      <c r="M176" s="23"/>
      <c r="N176" s="22"/>
      <c r="O176" s="23"/>
      <c r="P176" s="21">
        <f t="shared" si="9"/>
        <v>0</v>
      </c>
    </row>
    <row r="177" spans="1:16" ht="16.5" thickBot="1" x14ac:dyDescent="0.3">
      <c r="A177" s="114" t="s">
        <v>36</v>
      </c>
      <c r="B177" s="58"/>
      <c r="C177" s="58"/>
      <c r="D177" s="54"/>
      <c r="E177" s="55"/>
      <c r="F177" s="58"/>
      <c r="G177" s="58"/>
      <c r="H177" s="54"/>
      <c r="I177" s="55"/>
      <c r="J177" s="58"/>
      <c r="K177" s="58"/>
      <c r="L177" s="53"/>
      <c r="M177" s="23"/>
      <c r="N177" s="22"/>
      <c r="O177" s="23"/>
      <c r="P177" s="21">
        <f t="shared" si="9"/>
        <v>0</v>
      </c>
    </row>
    <row r="178" spans="1:16" ht="16.5" thickBot="1" x14ac:dyDescent="0.3">
      <c r="A178" s="114" t="s">
        <v>45</v>
      </c>
      <c r="B178" s="58"/>
      <c r="C178" s="58"/>
      <c r="D178" s="54"/>
      <c r="E178" s="55"/>
      <c r="F178" s="58"/>
      <c r="G178" s="58"/>
      <c r="H178" s="54"/>
      <c r="I178" s="55"/>
      <c r="J178" s="58"/>
      <c r="K178" s="58"/>
      <c r="L178" s="53"/>
      <c r="M178" s="23"/>
      <c r="N178" s="22"/>
      <c r="O178" s="23"/>
      <c r="P178" s="21">
        <f t="shared" si="9"/>
        <v>0</v>
      </c>
    </row>
    <row r="179" spans="1:16" ht="16.5" thickBot="1" x14ac:dyDescent="0.3">
      <c r="A179" s="114" t="s">
        <v>42</v>
      </c>
      <c r="B179" s="58"/>
      <c r="C179" s="58"/>
      <c r="D179" s="54"/>
      <c r="E179" s="55"/>
      <c r="F179" s="58"/>
      <c r="G179" s="58"/>
      <c r="H179" s="54"/>
      <c r="I179" s="55"/>
      <c r="J179" s="58"/>
      <c r="K179" s="58"/>
      <c r="L179" s="53"/>
      <c r="M179" s="23"/>
      <c r="N179" s="22"/>
      <c r="O179" s="23"/>
      <c r="P179" s="21">
        <f t="shared" si="9"/>
        <v>0</v>
      </c>
    </row>
    <row r="180" spans="1:16" x14ac:dyDescent="0.25">
      <c r="A180" s="114" t="s">
        <v>43</v>
      </c>
      <c r="B180" s="58"/>
      <c r="C180" s="58"/>
      <c r="D180" s="54"/>
      <c r="E180" s="55"/>
      <c r="F180" s="58"/>
      <c r="G180" s="58"/>
      <c r="H180" s="54"/>
      <c r="I180" s="55"/>
      <c r="J180" s="58"/>
      <c r="K180" s="58"/>
      <c r="L180" s="53"/>
      <c r="M180" s="23"/>
      <c r="N180" s="22"/>
      <c r="O180" s="23"/>
      <c r="P180" s="21">
        <f t="shared" si="9"/>
        <v>0</v>
      </c>
    </row>
    <row r="181" spans="1:16" ht="16.5" thickBot="1" x14ac:dyDescent="0.3">
      <c r="A181" s="116" t="s">
        <v>38</v>
      </c>
      <c r="B181" s="64"/>
      <c r="C181" s="64"/>
      <c r="D181" s="62"/>
      <c r="E181" s="63"/>
      <c r="F181" s="64"/>
      <c r="G181" s="64"/>
      <c r="H181" s="62"/>
      <c r="I181" s="63"/>
      <c r="J181" s="64"/>
      <c r="K181" s="64"/>
      <c r="L181" s="62"/>
      <c r="M181" s="63"/>
      <c r="N181" s="64"/>
      <c r="O181" s="63"/>
      <c r="P181" s="65">
        <f t="shared" si="9"/>
        <v>0</v>
      </c>
    </row>
    <row r="184" spans="1:16" ht="16.5" thickBot="1" x14ac:dyDescent="0.3"/>
    <row r="185" spans="1:16" ht="16.5" thickBot="1" x14ac:dyDescent="0.3">
      <c r="A185" s="1" t="s">
        <v>0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</row>
    <row r="186" spans="1:16" ht="16.5" thickBot="1" x14ac:dyDescent="0.3">
      <c r="A186" s="4"/>
      <c r="B186" s="151">
        <f>N147+1</f>
        <v>29</v>
      </c>
      <c r="C186" s="152"/>
      <c r="D186" s="153">
        <f>B186+1</f>
        <v>30</v>
      </c>
      <c r="E186" s="154"/>
      <c r="F186" s="151">
        <f>D186+1</f>
        <v>31</v>
      </c>
      <c r="G186" s="152"/>
      <c r="H186" s="155">
        <f>F186+1</f>
        <v>32</v>
      </c>
      <c r="I186" s="156"/>
      <c r="J186" s="151">
        <f>H186+1</f>
        <v>33</v>
      </c>
      <c r="K186" s="156"/>
      <c r="L186" s="155">
        <f>J186+1</f>
        <v>34</v>
      </c>
      <c r="M186" s="156"/>
      <c r="N186" s="155">
        <f>L186+1</f>
        <v>35</v>
      </c>
      <c r="O186" s="156"/>
      <c r="P186" s="5"/>
    </row>
    <row r="187" spans="1:16" ht="16.5" thickBot="1" x14ac:dyDescent="0.3">
      <c r="A187" s="6"/>
      <c r="B187" s="7"/>
      <c r="C187" s="8"/>
      <c r="D187" s="7"/>
      <c r="E187" s="8"/>
      <c r="F187" s="7"/>
      <c r="G187" s="8"/>
      <c r="H187" s="7"/>
      <c r="I187" s="8"/>
      <c r="J187" s="9"/>
      <c r="K187" s="9"/>
      <c r="L187" s="10"/>
      <c r="M187" s="10"/>
      <c r="N187" s="10"/>
      <c r="O187" s="11"/>
      <c r="P187" s="5"/>
    </row>
    <row r="188" spans="1:16" ht="16.5" thickBot="1" x14ac:dyDescent="0.3">
      <c r="A188" s="12"/>
      <c r="B188" s="144"/>
      <c r="C188" s="145"/>
      <c r="D188" s="13" t="s">
        <v>1</v>
      </c>
      <c r="E188" s="14"/>
      <c r="F188" s="7"/>
      <c r="G188" s="8"/>
      <c r="H188" s="13" t="s">
        <v>1</v>
      </c>
      <c r="I188" s="14"/>
      <c r="J188" s="146" t="s">
        <v>47</v>
      </c>
      <c r="K188" s="147"/>
      <c r="L188" s="13" t="s">
        <v>1</v>
      </c>
      <c r="M188" s="14"/>
      <c r="N188" s="13" t="s">
        <v>1</v>
      </c>
      <c r="O188" s="14"/>
      <c r="P188" s="5"/>
    </row>
    <row r="189" spans="1:16" ht="16.5" thickBot="1" x14ac:dyDescent="0.3">
      <c r="A189" s="12"/>
      <c r="B189" s="148" t="s">
        <v>4</v>
      </c>
      <c r="C189" s="132"/>
      <c r="D189" s="131" t="s">
        <v>5</v>
      </c>
      <c r="E189" s="132"/>
      <c r="F189" s="131" t="s">
        <v>6</v>
      </c>
      <c r="G189" s="132"/>
      <c r="H189" s="131" t="s">
        <v>7</v>
      </c>
      <c r="I189" s="132"/>
      <c r="J189" s="131" t="s">
        <v>8</v>
      </c>
      <c r="K189" s="132"/>
      <c r="L189" s="131" t="s">
        <v>9</v>
      </c>
      <c r="M189" s="132"/>
      <c r="N189" s="131" t="s">
        <v>10</v>
      </c>
      <c r="O189" s="132"/>
      <c r="P189" s="5"/>
    </row>
    <row r="190" spans="1:16" ht="16.5" thickBot="1" x14ac:dyDescent="0.3">
      <c r="A190" s="15" t="s">
        <v>11</v>
      </c>
      <c r="B190" s="133"/>
      <c r="C190" s="134"/>
      <c r="D190" s="135"/>
      <c r="E190" s="136"/>
      <c r="F190" s="135"/>
      <c r="G190" s="136"/>
      <c r="H190" s="137"/>
      <c r="I190" s="138"/>
      <c r="J190" s="120"/>
      <c r="K190" s="138"/>
      <c r="L190" s="120"/>
      <c r="M190" s="120"/>
      <c r="N190" s="136"/>
      <c r="O190" s="139"/>
      <c r="P190" s="16" t="s">
        <v>15</v>
      </c>
    </row>
    <row r="191" spans="1:16" ht="16.5" thickBot="1" x14ac:dyDescent="0.3">
      <c r="A191" s="17" t="s">
        <v>16</v>
      </c>
      <c r="B191" s="140"/>
      <c r="C191" s="141"/>
      <c r="D191" s="142"/>
      <c r="E191" s="143"/>
      <c r="F191" s="119"/>
      <c r="G191" s="120"/>
      <c r="H191" s="121"/>
      <c r="I191" s="122"/>
      <c r="J191" s="126"/>
      <c r="K191" s="126"/>
      <c r="L191" s="121"/>
      <c r="M191" s="122"/>
      <c r="N191" s="123"/>
      <c r="O191" s="124"/>
      <c r="P191" s="18"/>
    </row>
    <row r="192" spans="1:16" ht="16.5" thickBot="1" x14ac:dyDescent="0.3">
      <c r="A192" s="121" t="s">
        <v>20</v>
      </c>
      <c r="B192" s="125"/>
      <c r="C192" s="125"/>
      <c r="D192" s="125"/>
      <c r="E192" s="125"/>
      <c r="F192" s="125"/>
      <c r="G192" s="125"/>
      <c r="H192" s="126"/>
      <c r="I192" s="126"/>
      <c r="J192" s="126"/>
      <c r="K192" s="126"/>
      <c r="L192" s="126"/>
      <c r="M192" s="126"/>
      <c r="N192" s="125"/>
      <c r="O192" s="122"/>
      <c r="P192" s="19" t="s">
        <v>21</v>
      </c>
    </row>
    <row r="193" spans="1:16" ht="16.5" thickBot="1" x14ac:dyDescent="0.3">
      <c r="A193" s="20" t="s">
        <v>13</v>
      </c>
      <c r="B193" s="103"/>
      <c r="C193" s="104"/>
      <c r="D193" s="103"/>
      <c r="E193" s="104"/>
      <c r="F193" s="103"/>
      <c r="G193" s="104"/>
      <c r="H193" s="103"/>
      <c r="I193" s="104"/>
      <c r="J193" s="103"/>
      <c r="K193" s="104"/>
      <c r="L193" s="22"/>
      <c r="M193" s="23"/>
      <c r="N193" s="22"/>
      <c r="O193" s="23"/>
      <c r="P193" s="21">
        <f>(((((C193-B193))))+(E193-D193)+(G193-F193)+(I193-H193)+((K193-J193)*2)+(M193-L193))*24</f>
        <v>0</v>
      </c>
    </row>
    <row r="194" spans="1:16" ht="16.5" thickBot="1" x14ac:dyDescent="0.3">
      <c r="A194" s="20" t="s">
        <v>12</v>
      </c>
      <c r="B194" s="103"/>
      <c r="C194" s="104"/>
      <c r="D194" s="103"/>
      <c r="E194" s="104"/>
      <c r="F194" s="103"/>
      <c r="G194" s="104"/>
      <c r="H194" s="103"/>
      <c r="I194" s="74"/>
      <c r="J194" s="103"/>
      <c r="K194" s="104"/>
      <c r="L194" s="22"/>
      <c r="M194" s="23"/>
      <c r="N194" s="24"/>
      <c r="O194" s="25"/>
      <c r="P194" s="21">
        <f t="shared" ref="P194:P198" si="10">(((((C194-B194))))+(E194-D194)+(G194-F194)+(I194-H194)+((K194-J194)*2)+(M194-L194))*24</f>
        <v>0</v>
      </c>
    </row>
    <row r="195" spans="1:16" ht="16.5" thickBot="1" x14ac:dyDescent="0.3">
      <c r="A195" s="20" t="s">
        <v>22</v>
      </c>
      <c r="B195" s="103"/>
      <c r="C195" s="104"/>
      <c r="D195" s="103"/>
      <c r="E195" s="104"/>
      <c r="F195" s="103"/>
      <c r="G195" s="104"/>
      <c r="H195" s="103"/>
      <c r="I195" s="104"/>
      <c r="J195" s="103"/>
      <c r="K195" s="104"/>
      <c r="L195" s="22"/>
      <c r="M195" s="23"/>
      <c r="N195" s="22"/>
      <c r="O195" s="23"/>
      <c r="P195" s="21">
        <f t="shared" si="10"/>
        <v>0</v>
      </c>
    </row>
    <row r="196" spans="1:16" ht="16.5" thickBot="1" x14ac:dyDescent="0.3">
      <c r="A196" s="26" t="s">
        <v>14</v>
      </c>
      <c r="B196" s="103"/>
      <c r="C196" s="74"/>
      <c r="D196" s="103"/>
      <c r="E196" s="74"/>
      <c r="F196" s="103"/>
      <c r="G196" s="74"/>
      <c r="H196" s="177"/>
      <c r="I196" s="178"/>
      <c r="J196" s="103"/>
      <c r="K196" s="104"/>
      <c r="L196" s="91"/>
      <c r="M196" s="92"/>
      <c r="N196" s="91"/>
      <c r="O196" s="92"/>
      <c r="P196" s="21">
        <f t="shared" si="10"/>
        <v>0</v>
      </c>
    </row>
    <row r="197" spans="1:16" ht="16.5" thickBot="1" x14ac:dyDescent="0.3">
      <c r="A197" s="26" t="s">
        <v>23</v>
      </c>
      <c r="B197" s="103"/>
      <c r="C197" s="74"/>
      <c r="D197" s="103"/>
      <c r="E197" s="74"/>
      <c r="F197" s="103"/>
      <c r="G197" s="74"/>
      <c r="H197" s="103"/>
      <c r="I197" s="104"/>
      <c r="J197" s="103"/>
      <c r="K197" s="104"/>
      <c r="L197" s="22"/>
      <c r="M197" s="23"/>
      <c r="N197" s="22"/>
      <c r="O197" s="23"/>
      <c r="P197" s="21">
        <f t="shared" si="10"/>
        <v>0</v>
      </c>
    </row>
    <row r="198" spans="1:16" ht="16.5" thickBot="1" x14ac:dyDescent="0.3">
      <c r="A198" s="93" t="s">
        <v>37</v>
      </c>
      <c r="B198" s="117"/>
      <c r="C198" s="85"/>
      <c r="D198" s="179"/>
      <c r="E198" s="180"/>
      <c r="F198" s="117"/>
      <c r="G198" s="85"/>
      <c r="H198" s="117"/>
      <c r="I198" s="85"/>
      <c r="J198" s="117"/>
      <c r="K198" s="86"/>
      <c r="L198" s="28"/>
      <c r="M198" s="29"/>
      <c r="N198" s="28"/>
      <c r="O198" s="29"/>
      <c r="P198" s="21">
        <f t="shared" si="10"/>
        <v>0</v>
      </c>
    </row>
    <row r="199" spans="1:16" ht="16.5" thickBot="1" x14ac:dyDescent="0.3">
      <c r="A199" s="127" t="s">
        <v>24</v>
      </c>
      <c r="B199" s="128"/>
      <c r="C199" s="128"/>
      <c r="D199" s="128"/>
      <c r="E199" s="128"/>
      <c r="F199" s="128"/>
      <c r="G199" s="128"/>
      <c r="H199" s="128"/>
      <c r="I199" s="128"/>
      <c r="J199" s="129"/>
      <c r="K199" s="129"/>
      <c r="L199" s="128"/>
      <c r="M199" s="128"/>
      <c r="N199" s="129"/>
      <c r="O199" s="130"/>
      <c r="P199" s="30"/>
    </row>
    <row r="200" spans="1:16" x14ac:dyDescent="0.25">
      <c r="A200" s="94" t="s">
        <v>40</v>
      </c>
      <c r="B200" s="95"/>
      <c r="C200" s="118"/>
      <c r="D200" s="34"/>
      <c r="E200" s="35"/>
      <c r="F200" s="97"/>
      <c r="G200" s="98"/>
      <c r="H200" s="172"/>
      <c r="I200" s="174"/>
      <c r="J200" s="42"/>
      <c r="K200" s="42"/>
      <c r="L200" s="36"/>
      <c r="M200" s="35"/>
      <c r="N200" s="22"/>
      <c r="O200" s="23"/>
      <c r="P200" s="30"/>
    </row>
    <row r="201" spans="1:16" ht="16.5" thickBot="1" x14ac:dyDescent="0.3">
      <c r="A201" s="100" t="s">
        <v>41</v>
      </c>
      <c r="B201" s="53"/>
      <c r="C201" s="23"/>
      <c r="D201" s="43"/>
      <c r="E201" s="44"/>
      <c r="F201" s="22"/>
      <c r="G201" s="23"/>
      <c r="H201" s="43"/>
      <c r="I201" s="44"/>
      <c r="J201" s="42"/>
      <c r="K201" s="42"/>
      <c r="L201" s="45"/>
      <c r="M201" s="46"/>
      <c r="N201" s="47"/>
      <c r="O201" s="46"/>
      <c r="P201" s="30"/>
    </row>
    <row r="202" spans="1:16" ht="16.5" thickBot="1" x14ac:dyDescent="0.3">
      <c r="A202" s="37" t="s">
        <v>2</v>
      </c>
      <c r="B202" s="38"/>
      <c r="C202" s="39"/>
      <c r="D202" s="43"/>
      <c r="E202" s="44"/>
      <c r="F202" s="42"/>
      <c r="G202" s="39"/>
      <c r="H202" s="47"/>
      <c r="I202" s="46"/>
      <c r="J202" s="42"/>
      <c r="K202" s="42"/>
      <c r="L202" s="45"/>
      <c r="M202" s="46"/>
      <c r="N202" s="22"/>
      <c r="O202" s="23"/>
      <c r="P202" s="21">
        <f>(((((C202-B202))))+(E202-D202)+(G202-F202)+(I202-H202)+((K202-J202)*2)+(M202-L202)+(O202-N202))*24</f>
        <v>0</v>
      </c>
    </row>
    <row r="203" spans="1:16" ht="16.5" thickBot="1" x14ac:dyDescent="0.3">
      <c r="A203" s="37" t="s">
        <v>17</v>
      </c>
      <c r="B203" s="45"/>
      <c r="C203" s="46"/>
      <c r="D203" s="43"/>
      <c r="E203" s="44"/>
      <c r="F203" s="43"/>
      <c r="G203" s="44"/>
      <c r="H203" s="43"/>
      <c r="I203" s="44"/>
      <c r="J203" s="203"/>
      <c r="K203" s="203"/>
      <c r="L203" s="45"/>
      <c r="M203" s="46"/>
      <c r="N203" s="47"/>
      <c r="O203" s="46"/>
      <c r="P203" s="21">
        <f t="shared" ref="P203:P220" si="11">(((((C203-B203))))+(E203-D203)+(G203-F203)+(I203-H203)+((K203-J203)*2)+(M203-L203)+(O203-N203))*24</f>
        <v>0</v>
      </c>
    </row>
    <row r="204" spans="1:16" ht="16.5" thickBot="1" x14ac:dyDescent="0.3">
      <c r="A204" s="101" t="s">
        <v>19</v>
      </c>
      <c r="B204" s="45"/>
      <c r="C204" s="46"/>
      <c r="D204" s="22"/>
      <c r="E204" s="23"/>
      <c r="F204" s="42"/>
      <c r="G204" s="39"/>
      <c r="H204" s="40"/>
      <c r="I204" s="41"/>
      <c r="J204" s="42"/>
      <c r="K204" s="42"/>
      <c r="L204" s="45"/>
      <c r="M204" s="46"/>
      <c r="N204" s="47"/>
      <c r="O204" s="46"/>
      <c r="P204" s="21">
        <f t="shared" si="11"/>
        <v>0</v>
      </c>
    </row>
    <row r="205" spans="1:16" ht="16.5" thickBot="1" x14ac:dyDescent="0.3">
      <c r="A205" s="79" t="s">
        <v>25</v>
      </c>
      <c r="B205" s="38"/>
      <c r="C205" s="39"/>
      <c r="D205" s="84"/>
      <c r="E205" s="82"/>
      <c r="F205" s="83"/>
      <c r="G205" s="50"/>
      <c r="H205" s="43"/>
      <c r="I205" s="44"/>
      <c r="J205" s="22"/>
      <c r="K205" s="22"/>
      <c r="L205" s="53"/>
      <c r="M205" s="23"/>
      <c r="N205" s="22"/>
      <c r="O205" s="23"/>
      <c r="P205" s="21">
        <f t="shared" si="11"/>
        <v>0</v>
      </c>
    </row>
    <row r="206" spans="1:16" ht="16.5" thickBot="1" x14ac:dyDescent="0.3">
      <c r="A206" s="102" t="s">
        <v>26</v>
      </c>
      <c r="B206" s="49"/>
      <c r="C206" s="50"/>
      <c r="D206" s="84"/>
      <c r="E206" s="82"/>
      <c r="F206" s="83"/>
      <c r="G206" s="50"/>
      <c r="H206" s="84"/>
      <c r="I206" s="82"/>
      <c r="J206" s="22"/>
      <c r="K206" s="22"/>
      <c r="L206" s="53"/>
      <c r="M206" s="23"/>
      <c r="N206" s="22"/>
      <c r="O206" s="23"/>
      <c r="P206" s="21">
        <f t="shared" si="11"/>
        <v>0</v>
      </c>
    </row>
    <row r="207" spans="1:16" ht="16.5" thickBot="1" x14ac:dyDescent="0.3">
      <c r="A207" s="80" t="s">
        <v>27</v>
      </c>
      <c r="B207" s="81"/>
      <c r="C207" s="82"/>
      <c r="D207" s="42"/>
      <c r="E207" s="39"/>
      <c r="F207" s="83"/>
      <c r="G207" s="50"/>
      <c r="H207" s="43"/>
      <c r="I207" s="44"/>
      <c r="J207" s="22"/>
      <c r="K207" s="22"/>
      <c r="L207" s="53"/>
      <c r="M207" s="23"/>
      <c r="N207" s="22"/>
      <c r="O207" s="23"/>
      <c r="P207" s="21">
        <f t="shared" si="11"/>
        <v>0</v>
      </c>
    </row>
    <row r="208" spans="1:16" ht="16.5" thickBot="1" x14ac:dyDescent="0.3">
      <c r="A208" s="80" t="s">
        <v>28</v>
      </c>
      <c r="B208" s="81"/>
      <c r="C208" s="82"/>
      <c r="D208" s="42"/>
      <c r="E208" s="39"/>
      <c r="F208" s="85"/>
      <c r="G208" s="86"/>
      <c r="H208" s="58"/>
      <c r="I208" s="55"/>
      <c r="J208" s="178"/>
      <c r="K208" s="178"/>
      <c r="L208" s="53"/>
      <c r="M208" s="23"/>
      <c r="N208" s="22"/>
      <c r="O208" s="23"/>
      <c r="P208" s="21">
        <f t="shared" si="11"/>
        <v>0</v>
      </c>
    </row>
    <row r="209" spans="1:16" ht="16.5" thickBot="1" x14ac:dyDescent="0.3">
      <c r="A209" s="102" t="s">
        <v>29</v>
      </c>
      <c r="B209" s="54"/>
      <c r="C209" s="55"/>
      <c r="D209" s="43"/>
      <c r="E209" s="44"/>
      <c r="F209" s="58"/>
      <c r="G209" s="55"/>
      <c r="H209" s="58"/>
      <c r="I209" s="55"/>
      <c r="J209" s="22"/>
      <c r="K209" s="22"/>
      <c r="L209" s="53"/>
      <c r="M209" s="23"/>
      <c r="N209" s="22"/>
      <c r="O209" s="23"/>
      <c r="P209" s="21">
        <f t="shared" si="11"/>
        <v>0</v>
      </c>
    </row>
    <row r="210" spans="1:16" ht="16.5" thickBot="1" x14ac:dyDescent="0.3">
      <c r="A210" s="87" t="s">
        <v>30</v>
      </c>
      <c r="B210" s="53"/>
      <c r="C210" s="23"/>
      <c r="D210" s="58"/>
      <c r="E210" s="55"/>
      <c r="F210" s="22"/>
      <c r="G210" s="23"/>
      <c r="H210" s="58"/>
      <c r="I210" s="55"/>
      <c r="J210" s="58"/>
      <c r="K210" s="58"/>
      <c r="L210" s="53"/>
      <c r="M210" s="23"/>
      <c r="N210" s="22"/>
      <c r="O210" s="23"/>
      <c r="P210" s="21">
        <f t="shared" si="11"/>
        <v>0</v>
      </c>
    </row>
    <row r="211" spans="1:16" ht="16.5" thickBot="1" x14ac:dyDescent="0.3">
      <c r="A211" s="52" t="s">
        <v>31</v>
      </c>
      <c r="B211" s="54"/>
      <c r="C211" s="55"/>
      <c r="D211" s="58"/>
      <c r="E211" s="55"/>
      <c r="F211" s="58"/>
      <c r="G211" s="55"/>
      <c r="H211" s="58"/>
      <c r="I211" s="55"/>
      <c r="J211" s="178"/>
      <c r="K211" s="178"/>
      <c r="L211" s="53"/>
      <c r="M211" s="23"/>
      <c r="N211" s="22"/>
      <c r="O211" s="23"/>
      <c r="P211" s="21">
        <f t="shared" si="11"/>
        <v>0</v>
      </c>
    </row>
    <row r="212" spans="1:16" ht="16.5" thickBot="1" x14ac:dyDescent="0.3">
      <c r="A212" s="52" t="s">
        <v>32</v>
      </c>
      <c r="B212" s="54"/>
      <c r="C212" s="55"/>
      <c r="D212" s="58"/>
      <c r="E212" s="55"/>
      <c r="F212" s="58"/>
      <c r="G212" s="55"/>
      <c r="H212" s="58"/>
      <c r="I212" s="55"/>
      <c r="J212" s="43"/>
      <c r="K212" s="43"/>
      <c r="L212" s="53"/>
      <c r="M212" s="23"/>
      <c r="N212" s="22"/>
      <c r="O212" s="23"/>
      <c r="P212" s="21">
        <f t="shared" si="11"/>
        <v>0</v>
      </c>
    </row>
    <row r="213" spans="1:16" ht="16.5" thickBot="1" x14ac:dyDescent="0.3">
      <c r="A213" s="52" t="s">
        <v>33</v>
      </c>
      <c r="B213" s="54"/>
      <c r="C213" s="55"/>
      <c r="D213" s="58"/>
      <c r="E213" s="55"/>
      <c r="F213" s="58"/>
      <c r="G213" s="55"/>
      <c r="H213" s="58"/>
      <c r="I213" s="55"/>
      <c r="J213" s="58"/>
      <c r="K213" s="58"/>
      <c r="L213" s="53"/>
      <c r="M213" s="23"/>
      <c r="N213" s="22"/>
      <c r="O213" s="23"/>
      <c r="P213" s="21">
        <f t="shared" si="11"/>
        <v>0</v>
      </c>
    </row>
    <row r="214" spans="1:16" ht="16.5" thickBot="1" x14ac:dyDescent="0.3">
      <c r="A214" s="87" t="s">
        <v>34</v>
      </c>
      <c r="B214" s="54"/>
      <c r="C214" s="55"/>
      <c r="D214" s="58"/>
      <c r="E214" s="55"/>
      <c r="F214" s="58"/>
      <c r="G214" s="55"/>
      <c r="H214" s="58"/>
      <c r="I214" s="55"/>
      <c r="J214" s="58"/>
      <c r="K214" s="58"/>
      <c r="L214" s="53"/>
      <c r="M214" s="23"/>
      <c r="N214" s="22"/>
      <c r="O214" s="23"/>
      <c r="P214" s="21">
        <f>(((((C214-B214))))+(E214-D214)+(G214-F214)+(I214-H214)+((K214-J214)*2)+(M214-L214)+(O214-N214))*24</f>
        <v>0</v>
      </c>
    </row>
    <row r="215" spans="1:16" ht="16.5" thickBot="1" x14ac:dyDescent="0.3">
      <c r="A215" s="52" t="s">
        <v>35</v>
      </c>
      <c r="B215" s="54"/>
      <c r="C215" s="55"/>
      <c r="D215" s="43"/>
      <c r="E215" s="44"/>
      <c r="F215" s="58"/>
      <c r="G215" s="55"/>
      <c r="H215" s="58"/>
      <c r="I215" s="55"/>
      <c r="J215" s="178"/>
      <c r="K215" s="178"/>
      <c r="L215" s="53"/>
      <c r="M215" s="23"/>
      <c r="N215" s="22"/>
      <c r="O215" s="23"/>
      <c r="P215" s="21">
        <f t="shared" si="11"/>
        <v>0</v>
      </c>
    </row>
    <row r="216" spans="1:16" ht="16.5" thickBot="1" x14ac:dyDescent="0.3">
      <c r="A216" s="87" t="s">
        <v>36</v>
      </c>
      <c r="B216" s="54"/>
      <c r="C216" s="55"/>
      <c r="D216" s="58"/>
      <c r="E216" s="55"/>
      <c r="F216" s="58"/>
      <c r="G216" s="55"/>
      <c r="H216" s="58"/>
      <c r="I216" s="55"/>
      <c r="J216" s="53"/>
      <c r="K216" s="23"/>
      <c r="L216" s="53"/>
      <c r="M216" s="23"/>
      <c r="N216" s="22"/>
      <c r="O216" s="23"/>
      <c r="P216" s="21">
        <f t="shared" si="11"/>
        <v>0</v>
      </c>
    </row>
    <row r="217" spans="1:16" ht="16.5" thickBot="1" x14ac:dyDescent="0.3">
      <c r="A217" s="87" t="s">
        <v>45</v>
      </c>
      <c r="B217" s="54"/>
      <c r="C217" s="55"/>
      <c r="D217" s="58"/>
      <c r="E217" s="55"/>
      <c r="F217" s="58"/>
      <c r="G217" s="55"/>
      <c r="H217" s="58"/>
      <c r="I217" s="55"/>
      <c r="J217" s="58"/>
      <c r="K217" s="58"/>
      <c r="L217" s="53"/>
      <c r="M217" s="23"/>
      <c r="N217" s="22"/>
      <c r="O217" s="23"/>
      <c r="P217" s="21">
        <f t="shared" si="11"/>
        <v>0</v>
      </c>
    </row>
    <row r="218" spans="1:16" ht="16.5" thickBot="1" x14ac:dyDescent="0.3">
      <c r="A218" s="87" t="s">
        <v>42</v>
      </c>
      <c r="B218" s="54"/>
      <c r="C218" s="55"/>
      <c r="D218" s="58"/>
      <c r="E218" s="55"/>
      <c r="F218" s="58"/>
      <c r="G218" s="55"/>
      <c r="H218" s="58"/>
      <c r="I218" s="55"/>
      <c r="J218" s="58"/>
      <c r="K218" s="58"/>
      <c r="L218" s="53"/>
      <c r="M218" s="23"/>
      <c r="N218" s="22"/>
      <c r="O218" s="23"/>
      <c r="P218" s="21">
        <f t="shared" si="11"/>
        <v>0</v>
      </c>
    </row>
    <row r="219" spans="1:16" ht="16.5" thickBot="1" x14ac:dyDescent="0.3">
      <c r="A219" s="87" t="s">
        <v>43</v>
      </c>
      <c r="B219" s="54"/>
      <c r="C219" s="55"/>
      <c r="D219" s="58"/>
      <c r="E219" s="55"/>
      <c r="F219" s="58"/>
      <c r="G219" s="55"/>
      <c r="H219" s="58"/>
      <c r="I219" s="55"/>
      <c r="J219" s="58"/>
      <c r="K219" s="58"/>
      <c r="L219" s="53"/>
      <c r="M219" s="23"/>
      <c r="N219" s="22"/>
      <c r="O219" s="23"/>
      <c r="P219" s="21">
        <f t="shared" si="11"/>
        <v>0</v>
      </c>
    </row>
    <row r="220" spans="1:16" ht="16.5" thickBot="1" x14ac:dyDescent="0.3">
      <c r="A220" s="89" t="s">
        <v>38</v>
      </c>
      <c r="B220" s="62"/>
      <c r="C220" s="63"/>
      <c r="D220" s="64"/>
      <c r="E220" s="63"/>
      <c r="F220" s="64"/>
      <c r="G220" s="63"/>
      <c r="H220" s="64"/>
      <c r="I220" s="63"/>
      <c r="J220" s="178"/>
      <c r="K220" s="178"/>
      <c r="L220" s="62"/>
      <c r="M220" s="63"/>
      <c r="N220" s="22"/>
      <c r="O220" s="23"/>
      <c r="P220" s="21">
        <f t="shared" si="11"/>
        <v>0</v>
      </c>
    </row>
  </sheetData>
  <mergeCells count="170">
    <mergeCell ref="N3:O3"/>
    <mergeCell ref="B5:C5"/>
    <mergeCell ref="B6:C6"/>
    <mergeCell ref="D6:E6"/>
    <mergeCell ref="F6:G6"/>
    <mergeCell ref="H6:I6"/>
    <mergeCell ref="J6:K6"/>
    <mergeCell ref="L6:M6"/>
    <mergeCell ref="N6:O6"/>
    <mergeCell ref="B3:C3"/>
    <mergeCell ref="D3:E3"/>
    <mergeCell ref="F3:G3"/>
    <mergeCell ref="H3:I3"/>
    <mergeCell ref="J3:K3"/>
    <mergeCell ref="L3:M3"/>
    <mergeCell ref="B7:C7"/>
    <mergeCell ref="D7:E7"/>
    <mergeCell ref="F7:G7"/>
    <mergeCell ref="H7:I7"/>
    <mergeCell ref="J7:K8"/>
    <mergeCell ref="L7:O7"/>
    <mergeCell ref="B8:C8"/>
    <mergeCell ref="D8:E8"/>
    <mergeCell ref="F8:G8"/>
    <mergeCell ref="H8:I8"/>
    <mergeCell ref="B38:C38"/>
    <mergeCell ref="B39:C39"/>
    <mergeCell ref="D39:E39"/>
    <mergeCell ref="F39:G39"/>
    <mergeCell ref="H39:I39"/>
    <mergeCell ref="J39:K39"/>
    <mergeCell ref="L8:O8"/>
    <mergeCell ref="A9:O9"/>
    <mergeCell ref="A15:O15"/>
    <mergeCell ref="B36:C36"/>
    <mergeCell ref="D36:E36"/>
    <mergeCell ref="F36:G36"/>
    <mergeCell ref="H36:I36"/>
    <mergeCell ref="J36:K36"/>
    <mergeCell ref="L36:M36"/>
    <mergeCell ref="N36:O36"/>
    <mergeCell ref="L39:M39"/>
    <mergeCell ref="N39:O39"/>
    <mergeCell ref="B40:C40"/>
    <mergeCell ref="D40:E40"/>
    <mergeCell ref="F40:G40"/>
    <mergeCell ref="H40:I40"/>
    <mergeCell ref="J40:K41"/>
    <mergeCell ref="L40:O40"/>
    <mergeCell ref="B41:C41"/>
    <mergeCell ref="D41:E41"/>
    <mergeCell ref="F41:G41"/>
    <mergeCell ref="H41:I41"/>
    <mergeCell ref="L41:O41"/>
    <mergeCell ref="A42:O42"/>
    <mergeCell ref="A49:O49"/>
    <mergeCell ref="B72:C72"/>
    <mergeCell ref="D72:E72"/>
    <mergeCell ref="F72:G72"/>
    <mergeCell ref="H72:I72"/>
    <mergeCell ref="J72:K72"/>
    <mergeCell ref="L72:M72"/>
    <mergeCell ref="N72:O72"/>
    <mergeCell ref="B74:C74"/>
    <mergeCell ref="B75:C75"/>
    <mergeCell ref="D75:E75"/>
    <mergeCell ref="F75:G75"/>
    <mergeCell ref="H75:I75"/>
    <mergeCell ref="J75:K75"/>
    <mergeCell ref="L75:M75"/>
    <mergeCell ref="N75:O75"/>
    <mergeCell ref="B76:C76"/>
    <mergeCell ref="D76:E76"/>
    <mergeCell ref="F76:G76"/>
    <mergeCell ref="H76:I76"/>
    <mergeCell ref="J76:K77"/>
    <mergeCell ref="L76:O76"/>
    <mergeCell ref="B77:C77"/>
    <mergeCell ref="D77:E77"/>
    <mergeCell ref="F77:G77"/>
    <mergeCell ref="H77:I77"/>
    <mergeCell ref="B112:C112"/>
    <mergeCell ref="B113:C113"/>
    <mergeCell ref="D113:E113"/>
    <mergeCell ref="F113:G113"/>
    <mergeCell ref="H113:I113"/>
    <mergeCell ref="J113:K113"/>
    <mergeCell ref="L77:O77"/>
    <mergeCell ref="A78:O78"/>
    <mergeCell ref="A85:O85"/>
    <mergeCell ref="B110:C110"/>
    <mergeCell ref="D110:E110"/>
    <mergeCell ref="F110:G110"/>
    <mergeCell ref="H110:I110"/>
    <mergeCell ref="J110:K110"/>
    <mergeCell ref="L110:M110"/>
    <mergeCell ref="N110:O110"/>
    <mergeCell ref="L113:M113"/>
    <mergeCell ref="N113:O113"/>
    <mergeCell ref="B114:C114"/>
    <mergeCell ref="D114:E114"/>
    <mergeCell ref="F114:G114"/>
    <mergeCell ref="H114:I114"/>
    <mergeCell ref="J114:K115"/>
    <mergeCell ref="L114:O114"/>
    <mergeCell ref="B115:C115"/>
    <mergeCell ref="D115:E115"/>
    <mergeCell ref="F115:G115"/>
    <mergeCell ref="H115:I115"/>
    <mergeCell ref="L115:O115"/>
    <mergeCell ref="A116:O116"/>
    <mergeCell ref="A123:O123"/>
    <mergeCell ref="B147:C147"/>
    <mergeCell ref="D147:E147"/>
    <mergeCell ref="F147:G147"/>
    <mergeCell ref="H147:I147"/>
    <mergeCell ref="J147:K147"/>
    <mergeCell ref="L147:M147"/>
    <mergeCell ref="N147:O147"/>
    <mergeCell ref="B149:C149"/>
    <mergeCell ref="B150:C150"/>
    <mergeCell ref="D150:E150"/>
    <mergeCell ref="F150:G150"/>
    <mergeCell ref="H150:I150"/>
    <mergeCell ref="J150:K150"/>
    <mergeCell ref="L150:M150"/>
    <mergeCell ref="N150:O150"/>
    <mergeCell ref="B151:C151"/>
    <mergeCell ref="D151:E151"/>
    <mergeCell ref="F151:G151"/>
    <mergeCell ref="H151:I151"/>
    <mergeCell ref="J151:K152"/>
    <mergeCell ref="L151:O151"/>
    <mergeCell ref="B152:C152"/>
    <mergeCell ref="D152:E152"/>
    <mergeCell ref="F152:G152"/>
    <mergeCell ref="H152:I152"/>
    <mergeCell ref="B188:C188"/>
    <mergeCell ref="J188:K188"/>
    <mergeCell ref="B189:C189"/>
    <mergeCell ref="D189:E189"/>
    <mergeCell ref="F189:G189"/>
    <mergeCell ref="H189:I189"/>
    <mergeCell ref="J189:K189"/>
    <mergeCell ref="L152:O152"/>
    <mergeCell ref="A153:O153"/>
    <mergeCell ref="A160:O160"/>
    <mergeCell ref="B186:C186"/>
    <mergeCell ref="D186:E186"/>
    <mergeCell ref="F186:G186"/>
    <mergeCell ref="H186:I186"/>
    <mergeCell ref="J186:K186"/>
    <mergeCell ref="L186:M186"/>
    <mergeCell ref="N186:O186"/>
    <mergeCell ref="F191:G191"/>
    <mergeCell ref="H191:I191"/>
    <mergeCell ref="L191:M191"/>
    <mergeCell ref="N191:O191"/>
    <mergeCell ref="A192:O192"/>
    <mergeCell ref="A199:O199"/>
    <mergeCell ref="L189:M189"/>
    <mergeCell ref="N189:O189"/>
    <mergeCell ref="B190:C190"/>
    <mergeCell ref="D190:E190"/>
    <mergeCell ref="F190:G190"/>
    <mergeCell ref="H190:I190"/>
    <mergeCell ref="J190:K191"/>
    <mergeCell ref="L190:O190"/>
    <mergeCell ref="B191:C191"/>
    <mergeCell ref="D191:E1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kirsty@cityrock.co.za</dc:creator>
  <cp:lastModifiedBy>Xander Jacobs</cp:lastModifiedBy>
  <dcterms:created xsi:type="dcterms:W3CDTF">2026-03-16T08:18:57Z</dcterms:created>
  <dcterms:modified xsi:type="dcterms:W3CDTF">2026-03-18T20:11:26Z</dcterms:modified>
</cp:coreProperties>
</file>